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oteiro" sheetId="2" state="visible" r:id="rId4"/>
    <sheet name="Regras de Combate" sheetId="3" state="visible" r:id="rId5"/>
    <sheet name="Resolução" sheetId="4" state="visible" r:id="rId6"/>
    <sheet name="Orbes &amp; Elementos" sheetId="5" state="visible" r:id="rId7"/>
    <sheet name="Iniciais" sheetId="6" state="visible" r:id="rId8"/>
    <sheet name="Provações" sheetId="7" state="visible" r:id="rId9"/>
    <sheet name="Roster" sheetId="8" state="visible" r:id="rId10"/>
    <sheet name="Kits NA" sheetId="9" state="visible" r:id="rId11"/>
    <sheet name="Glossário" sheetId="10" state="visible" r:id="rId12"/>
    <sheet name="Recursos de Campo" sheetId="11" state="visible" r:id="rId13"/>
    <sheet name="Aquisição" sheetId="12" state="visible" r:id="rId14"/>
    <sheet name="Vigilância" sheetId="13" state="visible" r:id="rId15"/>
    <sheet name="Bestiário PvE" sheetId="14" state="visible" r:id="rId16"/>
    <sheet name="Distribuição" sheetId="15" state="visible" r:id="rId17"/>
  </sheets>
  <definedNames>
    <definedName function="false" hidden="true" localSheetId="8" name="_xlnm._FilterDatabase" vbProcedure="false">'Kits NA'!$A$3:$S$103</definedName>
    <definedName function="false" hidden="true" localSheetId="6" name="_xlnm._FilterDatabase" vbProcedure="false">Provações!$A$3:$I$94</definedName>
    <definedName function="false" hidden="true" localSheetId="7" name="_xlnm._FilterDatabase" vbProcedure="false">Roster!$A$3:$G$103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<sst xmlns="http://schemas.openxmlformats.org/spreadsheetml/2006/main" count="3998" uniqueCount="2120">
  <si>
    <t xml:space="preserve">INCURSION — ESTILO NA · leia isto primeiro</t>
  </si>
  <si>
    <t xml:space="preserve">O que este arquivo é</t>
  </si>
  <si>
    <t xml:space="preserve">A conversão do roster INCURSION para o estilo de jogo do Naruto-Arena: 3 unidades por time, 100 de HP para todos, orbes elementais em vez de barra de ultimate, números inteiros e fixos, zero progressão de personagem.</t>
  </si>
  <si>
    <t xml:space="preserve">O que mudou em uma frase</t>
  </si>
  <si>
    <t xml:space="preserve">Saiu tudo que fazia um jogador ser mais forte que outro fora da partida. Entrou tudo que faz uma partida ser decidida por leitura e economia de recurso.</t>
  </si>
  <si>
    <t xml:space="preserve">Como usar</t>
  </si>
  <si>
    <t xml:space="preserve">'Regras de Combate' define o motor. 'Kits NA' é a fonte da verdade dos 100 deuses. 'Glossário' define cada palavra usada nos kits — se um efeito não está lá, ele não existe. 'Vigilância' lista o que provavelmente vai quebrar e como consertar.</t>
  </si>
  <si>
    <t xml:space="preserve">Convenção de cor</t>
  </si>
  <si>
    <t xml:space="preserve">Azul = alavanca ajustável (mexa aqui). Preto = derivado ou definição. Fundo amarelo = decisão em aberto. Fundo vermelho = risco conhecido.</t>
  </si>
  <si>
    <t xml:space="preserve">REMOVIDO em relação à planilha original</t>
  </si>
  <si>
    <t xml:space="preserve">Sistema removido</t>
  </si>
  <si>
    <t xml:space="preserve">Por quê</t>
  </si>
  <si>
    <t xml:space="preserve">Nível 1–70 · Essência de Fé · Ouro de nível</t>
  </si>
  <si>
    <t xml:space="preserve">Poder fora da partida. Com 100 de HP não existe granularidade: 1 ponto de dano importa, então qualquer diferença de nível decide a partida antes do turno 1.</t>
  </si>
  <si>
    <t xml:space="preserve">Estrela 3★–6★ e Ascensão</t>
  </si>
  <si>
    <t xml:space="preserve">Mesma razão. A raridade continua existindo, mas passa a significar COMPLEXIDADE do kit, não força. Um 3★ limpo tem que ganhar de um 5★ mal pilotado.</t>
  </si>
  <si>
    <t xml:space="preserve">Relíquias (6 slots, +15, conjuntos, Pó, Forja)</t>
  </si>
  <si>
    <t xml:space="preserve">Equipamento é a forma mais direta de pay-to-win num jogo simétrico.</t>
  </si>
  <si>
    <t xml:space="preserve">Link Divino (40 slots, Ícor, Empíreo)</t>
  </si>
  <si>
    <t xml:space="preserve">Min-max aleatório de status. Não há status para min-maxar.</t>
  </si>
  <si>
    <t xml:space="preserve">Nível de Habilidade 1→4 (Epifanias, Vislumbres)</t>
  </si>
  <si>
    <t xml:space="preserve">Este é o que dói remover e o mais importante. Em NA, o valor exato de cada habilidade é conhecimento público — é isso que permite ler o oponente. Habilidade com valor variável destrói a leitura e transforma o jogo em comparação de conta.</t>
  </si>
  <si>
    <t xml:space="preserve">Status base (HP, ATK, Atq.Mág, DEF, Def.Mág, VEL)</t>
  </si>
  <si>
    <t xml:space="preserve">Todos têm 100 de HP. A diferença entre um Guardião e um Atacante passa a estar no KIT (redução de dano, escudo, provocar), exatamente como em Naruto-Arena.</t>
  </si>
  <si>
    <t xml:space="preserve">Crítico, Evasão %, Bloqueio %, Precisão</t>
  </si>
  <si>
    <t xml:space="preserve">RNG que decide partidas. Foi convertido em efeitos determinísticos (ex.: 'o primeiro ataque de alvo único contra X em cada turno falha').</t>
  </si>
  <si>
    <t xml:space="preserve">Devoção como barra de 0→100</t>
  </si>
  <si>
    <t xml:space="preserve">Virou orbe elemental. Ver 'Orbes &amp; Elementos' — é a mudança mais importante do arquivo.</t>
  </si>
  <si>
    <t xml:space="preserve">Energia, Varredura, masmorras de recurso</t>
  </si>
  <si>
    <t xml:space="preserve">Sem progressão não há o que farmar. Energia sobrevive apenas como limite de PvE, se você quiser.</t>
  </si>
  <si>
    <t xml:space="preserve">Bestiário como personagem jogável 2★ / 'food'</t>
  </si>
  <si>
    <t xml:space="preserve">Sem sacrifício por XP, não há food. As 12 criaturas continuam, mas só como inimigos de PvE.</t>
  </si>
  <si>
    <t xml:space="preserve">MANTIDO</t>
  </si>
  <si>
    <t xml:space="preserve">Sistema mantido</t>
  </si>
  <si>
    <t xml:space="preserve">Como ficou</t>
  </si>
  <si>
    <t xml:space="preserve">Os 100 deuses, facções e nomes de habilidade</t>
  </si>
  <si>
    <t xml:space="preserve">Intactos. Só os efeitos foram reescritos.</t>
  </si>
  <si>
    <t xml:space="preserve">6 elementos</t>
  </si>
  <si>
    <t xml:space="preserve">Passaram a ser os 6 tipos de orbe (o chakra do jogo). Papel muito maior que antes.</t>
  </si>
  <si>
    <t xml:space="preserve">5 funções</t>
  </si>
  <si>
    <t xml:space="preserve">Intactas como identidade de kit: Atacante, Guardião, Suporte, Controlador, Manipulador.</t>
  </si>
  <si>
    <t xml:space="preserve">Físico / Mágico / Híbrido</t>
  </si>
  <si>
    <t xml:space="preserve">Vira CLASSE de habilidade: alvo de controle seletivo e de redução seletiva.</t>
  </si>
  <si>
    <t xml:space="preserve">Estrutura Básico / Habilidade / Milagre / Passiva</t>
  </si>
  <si>
    <t xml:space="preserve">Intacta. Cada deus tem 4 entradas.</t>
  </si>
  <si>
    <t xml:space="preserve">Recargas</t>
  </si>
  <si>
    <t xml:space="preserve">Intactas e centrais — são a moeda de tempo do jogo.</t>
  </si>
  <si>
    <t xml:space="preserve">Marcadores temáticos</t>
  </si>
  <si>
    <t xml:space="preserve">Encharcado, Dia/Noite, Combo, Disco Solar, Caudas, Atadura, Maldição, Podridão, Torpor.</t>
  </si>
  <si>
    <t xml:space="preserve">Gacha</t>
  </si>
  <si>
    <t xml:space="preserve">Mantido, mas só para ADQUIRIR deus. Nunca para fortalecer.</t>
  </si>
  <si>
    <t xml:space="preserve">Campanha PvE</t>
  </si>
  <si>
    <t xml:space="preserve">Mantida como conteúdo e como veículo das Provações de desbloqueio.</t>
  </si>
  <si>
    <t xml:space="preserve">ACRESCENTADO: Defesa universal</t>
  </si>
  <si>
    <t xml:space="preserve">5ª ação disponível a toda unidade. 1 orbe livre, recarga 4, Invulnerável 1 turno, gasta a ação. É o slot defensivo do Naruto-Arena, com os números daquele jogo. Ver 'Regras de Combate'.</t>
  </si>
  <si>
    <t xml:space="preserve">ACRESCENTADO: conversão de orbe</t>
  </si>
  <si>
    <t xml:space="preserve">3 orbes quaisquer → 1 do tipo escolhido, 1× por turno, sem gastar ação. Sem ela, azar de sorteio decidiria partidas e o time mono-elemento seria dominante. Ver 'Orbes &amp; Elementos'.</t>
  </si>
  <si>
    <t xml:space="preserve">ROTEIRO — do protótipo ao jogo completo</t>
  </si>
  <si>
    <t xml:space="preserve">Ordenado por DEPENDÊNCIA, não por empolgação. A tentação em projeto assim é começar pelo conteúdo (os outros 91 deuses, as telas, a arte) — e é o caminho mais caro, porque cada ambiguidade que o motor revelar obriga a refazer conteúdo já produzido. A coluna 'Depende de' é a parte que importa: nada deve começar antes do que ela aponta.</t>
  </si>
  <si>
    <t xml:space="preserve">Onde estamos</t>
  </si>
  <si>
    <t xml:space="preserve">Pronto</t>
  </si>
  <si>
    <t xml:space="preserve">O que existe hoje</t>
  </si>
  <si>
    <t xml:space="preserve">Regras de combate</t>
  </si>
  <si>
    <t xml:space="preserve">Fechadas e documentadas: 3v3, 100 de vida, 5 opções por unidade, energia elemental, conversão 3→1, empate no turno 40.</t>
  </si>
  <si>
    <t xml:space="preserve">As 7 regras de resolução</t>
  </si>
  <si>
    <t xml:space="preserve">Decididas e implementadas: ordem no turno, redução antes do escudo, DoT antes de agir, recarga N=pula N−1, duração no turno de quem recebe, acúmulo por categoria, proteção vence controle.</t>
  </si>
  <si>
    <t xml:space="preserve">Roster de conteúdo</t>
  </si>
  <si>
    <t xml:space="preserve">100 deuses com 4 entradas cada (400 habilidades) escritos na planilha. 9 iniciais definidos. 91 Provações escritas.</t>
  </si>
  <si>
    <t xml:space="preserve">Motor</t>
  </si>
  <si>
    <t xml:space="preserve">Função pura (estado, ação) → estado. 9 deuses implementados. 37 testes automatizados (motor, interface, auditoria contra as regras).</t>
  </si>
  <si>
    <t xml:space="preserve">Cliente</t>
  </si>
  <si>
    <t xml:space="preserve">Uma tela: batalha hot-seat, celular na horizontal, canvas 926×428 escalado. Encaixes de arte com chave em todos os elementos.</t>
  </si>
  <si>
    <t xml:space="preserve">O caminho</t>
  </si>
  <si>
    <t xml:space="preserve">#</t>
  </si>
  <si>
    <t xml:space="preserve">Fase</t>
  </si>
  <si>
    <t xml:space="preserve">Item</t>
  </si>
  <si>
    <t xml:space="preserve">O que é</t>
  </si>
  <si>
    <t xml:space="preserve">Depende de</t>
  </si>
  <si>
    <t xml:space="preserve">Por que nesta ordem</t>
  </si>
  <si>
    <t xml:space="preserve">Status</t>
  </si>
  <si>
    <t xml:space="preserve">FASE 0 — VALIDAR</t>
  </si>
  <si>
    <t xml:space="preserve">0</t>
  </si>
  <si>
    <t xml:space="preserve">Jogar 10 partidas no protótipo</t>
  </si>
  <si>
    <t xml:space="preserve">Você contra você mesmo, atenção real. A única pergunta: um turno parece uma DECISÃO ou uma sequência óbvia?</t>
  </si>
  <si>
    <t xml:space="preserve">nada — pode começar agora</t>
  </si>
  <si>
    <t xml:space="preserve">Se a resposta for 'sequência óbvia', nada mais na lista importa. Todo o resto é multiplicador do núcleo: se o núcleo não é bom, 100 deuses são 100× de trabalho perdido. É a fase mais barata e a que mais economiza.</t>
  </si>
  <si>
    <t xml:space="preserve">a fazer</t>
  </si>
  <si>
    <t xml:space="preserve">Decidir 100 ou 120 de vida</t>
  </si>
  <si>
    <t xml:space="preserve">Jogo automatizado fecha em 8–18 turnos. Se com atenção você também fechar em ~10, o dano está alto para o tamanho da vida.</t>
  </si>
  <si>
    <t xml:space="preserve">jogar 10 partidas</t>
  </si>
  <si>
    <t xml:space="preserve">Subir a vida para 120 é uma linha de código. Cortar 400 números de dano é uma semana. Decida antes de escrever os 91 deuses restantes, porque o orçamento de dano depende disso.</t>
  </si>
  <si>
    <t xml:space="preserve">Fechar o nome dos elementos</t>
  </si>
  <si>
    <t xml:space="preserve">Solar/Lunar/Vital/Caos/Vazio/Tempestade (seu design) ou Tempestade/Umbra/Maré/Aurora/Chama/Verdejante (planilha).</t>
  </si>
  <si>
    <t xml:space="preserve">nada</t>
  </si>
  <si>
    <t xml:space="preserve">Renomear é trivial no dado, mas quebra ganchos temáticos: Maré aplica Encharcado, Chama aplica Queimadura, Aurora e Umbra ativam Dia e Noite. São ~60 habilidades a retraduzir. Decidir agora custa nada; decidir depois de 400 ícones de arte custa caro.</t>
  </si>
  <si>
    <t xml:space="preserve">FASE 1 — MOTOR</t>
  </si>
  <si>
    <t xml:space="preserve">1</t>
  </si>
  <si>
    <t xml:space="preserve">Seleção de dois alvos ✓</t>
  </si>
  <si>
    <t xml:space="preserve">PRONTO. Especificação de passos: 'inimigo', '2inimigos', 'aliado', '2aliados', 'aliado+inimigo'. Efeitos com idx apontam para o 1º ou 2º alvo. Interface pede um passo por vez, mostra ALVO 1/2 e marca o já escolhido.</t>
  </si>
  <si>
    <t xml:space="preserve">—</t>
  </si>
  <si>
    <t xml:space="preserve">Validado com Thor (22 no primeiro alvo, 12 no segundo) e Hera (buff em 2 aliados escolhidos). Junto vieram 2 primitivas que esses kits exigiam: escudo (Defesa Destrutível) e vínculo (dano dividido entre dois aliados).</t>
  </si>
  <si>
    <t xml:space="preserve">Classe por habilidade ✓</t>
  </si>
  <si>
    <t xml:space="preserve">PRONTO. Cada habilidade tem classe própria: Físico, Mágico, Mental (controle) ou Aflição (dano contínuo). A Defesa é Universal e nenhum silêncio a alcança.</t>
  </si>
  <si>
    <t xml:space="preserve">O silêncio agora lê a classe da HABILIDADE. Nezha tem Físico + Mental/Aflição + Mágico, então nenhum silêncio de classe cala o kit dele — é exatamente por isso que ele é o Híbrido inicial. Kits que alternam de modo trocam de classe com o modo.</t>
  </si>
  <si>
    <t xml:space="preserve">Primitivas de efeito que faltam</t>
  </si>
  <si>
    <t xml:space="preserve">Invocações (Shabti, Fera, clones), revives, contadores acumuláveis (Combo, Disco Solar, Caudas, Ataduras, Maldição, Podridão), estado global Dia/Noite, copiar habilidade (Ísis), dano armazenado (Xangô), contagem de morte (Yan Wong), escolha múltipla (Nüwa, Lugh, Tanuki), interceptar, contra-atacar, Vida Extra.</t>
  </si>
  <si>
    <t xml:space="preserve">seleção de 2 alvos</t>
  </si>
  <si>
    <t xml:space="preserve">São ~14 primitivas. Cada uma destrava um grupo de deuses. Implementar a primitiva ANTES do deus evita descobrir na metade que o modelo de dados não cabe.</t>
  </si>
  <si>
    <t xml:space="preserve">Arena de auto-jogo</t>
  </si>
  <si>
    <t xml:space="preserve">O motor roda contra si mesmo por seed, milhares de partidas, e reporta: taxa de vitória por deus, duração média, combos que fecham antes do turno 6.</t>
  </si>
  <si>
    <t xml:space="preserve">primitivas</t>
  </si>
  <si>
    <t xml:space="preserve">Isto é o que torna possível balancear 100 deuses. Intuição não escala nesse número. E como o motor é função pura com seed, o custo é baixo e o retorno é enorme: acha combo quebrado antes de qualquer humano.</t>
  </si>
  <si>
    <t xml:space="preserve">Os 91 deuses restantes</t>
  </si>
  <si>
    <t xml:space="preserve">Thor e Hera já entraram (2 de 91), como validação das novas capacidades. Restam 89, em lotes de ~15, rodando a arena de auto-jogo após cada lote.</t>
  </si>
  <si>
    <t xml:space="preserve">primitivas + arena</t>
  </si>
  <si>
    <t xml:space="preserve">Trabalho mecânico depois das primitivas. Estimo ~30 ambiguidades a resolver no caminho (apareceram 6 nos primeiros 9). Cada lote testado é um lote que não volta.</t>
  </si>
  <si>
    <t xml:space="preserve">Replays</t>
  </si>
  <si>
    <t xml:space="preserve">Guardar estado inicial + lista de ações. Reproduz qualquer partida.</t>
  </si>
  <si>
    <t xml:space="preserve">Quase de graça com motor puro e determinístico. Serve para depurar, para o jogador rever, e para investigar reclamação de balanceamento com evidência em vez de opinião.</t>
  </si>
  <si>
    <t xml:space="preserve">FASE 2 — CPU</t>
  </si>
  <si>
    <t xml:space="preserve">2</t>
  </si>
  <si>
    <t xml:space="preserve">IA de busca em árvore</t>
  </si>
  <si>
    <t xml:space="preserve">Simula 2–3 turnos à frente, avalia vida, energia, recargas e ameaça de abate.</t>
  </si>
  <si>
    <t xml:space="preserve">os 91 deuses</t>
  </si>
  <si>
    <t xml:space="preserve">Informação perfeita, turnos discretos e poucas ações por turno: território ideal. Uma IA assim joga melhor que a maioria dos humanos no ranking baixo — 'offline é mais fácil' é escolha sua, não lei.</t>
  </si>
  <si>
    <t xml:space="preserve">Níveis de dificuldade</t>
  </si>
  <si>
    <t xml:space="preserve">Profundidade de busca + ruído controlado na avaliação.</t>
  </si>
  <si>
    <t xml:space="preserve">IA</t>
  </si>
  <si>
    <t xml:space="preserve">Ruído é melhor que 'burrice codificada': a IA fácil erra como um humano erra, não de formas absurdas que ensinam o jogador errado.</t>
  </si>
  <si>
    <t xml:space="preserve">FASE 3 — JOGO DE UM JOGADOR (primeiro produto vendável)</t>
  </si>
  <si>
    <t xml:space="preserve">3</t>
  </si>
  <si>
    <t xml:space="preserve">Telas de coleção e montagem de time</t>
  </si>
  <si>
    <t xml:space="preserve">Ver os deuses que você tem, ler kits, montar e salvar times.</t>
  </si>
  <si>
    <t xml:space="preserve">Primeira tela além da batalha. O padrão visual da tela de batalha já define a linguagem.</t>
  </si>
  <si>
    <t xml:space="preserve">Carregador de Provações</t>
  </si>
  <si>
    <t xml:space="preserve">Uma Provação é um estado serializado + condição de vitória. A tela lê o arquivo e monta a partida.</t>
  </si>
  <si>
    <t xml:space="preserve">IA + coleção</t>
  </si>
  <si>
    <t xml:space="preserve">O formato do estado já existe no motor. As 91 Provações estão escritas na planilha, faltando só o estado inicial de cada uma.</t>
  </si>
  <si>
    <t xml:space="preserve">Campanha</t>
  </si>
  <si>
    <t xml:space="preserve">21 capítulos, bestiário como tropa, chefes com kit do roster e mais vida.</t>
  </si>
  <si>
    <t xml:space="preserve">Aqui a fantasia de poder é legítima porque o oponente é a CPU. É também onde a progressão pode voltar a existir, se você quiser.</t>
  </si>
  <si>
    <t xml:space="preserve">Persistência local</t>
  </si>
  <si>
    <t xml:space="preserve">Coleção, moedas, Provações completadas, progresso de campanha.</t>
  </si>
  <si>
    <t xml:space="preserve">coleção</t>
  </si>
  <si>
    <t xml:space="preserve">Sem servidor ainda. Local resolve tudo até o PvP existir.</t>
  </si>
  <si>
    <t xml:space="preserve">PORTÃO: dá para lançar</t>
  </si>
  <si>
    <t xml:space="preserve">Um jogo de um jogador, com combate testado, campanha e Provações, sem gacha e sem servidor.</t>
  </si>
  <si>
    <t xml:space="preserve">tudo acima</t>
  </si>
  <si>
    <t xml:space="preserve">Este é o menor produto realmente lançável. Ele valida combate, retenção e curva de dificuldade com dinheiro e risco baixos — antes de você pagar por infraestrutura.</t>
  </si>
  <si>
    <t xml:space="preserve">FASE 4 — SERVIDOR E PVP</t>
  </si>
  <si>
    <t xml:space="preserve">4</t>
  </si>
  <si>
    <t xml:space="preserve">Contas e autenticação</t>
  </si>
  <si>
    <t xml:space="preserve">Login, recuperação, vínculo de dispositivo.</t>
  </si>
  <si>
    <t xml:space="preserve">portão da fase 3</t>
  </si>
  <si>
    <t xml:space="preserve">Servidor autoritativo</t>
  </si>
  <si>
    <t xml:space="preserve">O MESMO motor roda no servidor; o cliente não decide nada, só desenha e envia ações.</t>
  </si>
  <si>
    <t xml:space="preserve">contas</t>
  </si>
  <si>
    <t xml:space="preserve">É o retorno do investimento em motor puro: reaproveitamento direto, e anti-cheat praticamente resolvido de brinde.</t>
  </si>
  <si>
    <t xml:space="preserve">Reconexão</t>
  </si>
  <si>
    <t xml:space="preserve">Retomar partida caída.</t>
  </si>
  <si>
    <t xml:space="preserve">servidor autoritativo</t>
  </si>
  <si>
    <t xml:space="preserve">Jogo por turnos torna isso simples: reenviar o estado. Em jogo de ação seria um projeto inteiro.</t>
  </si>
  <si>
    <t xml:space="preserve">Pick/ban</t>
  </si>
  <si>
    <t xml:space="preserve">Draft com banimento alternado antes da partida ranqueada.</t>
  </si>
  <si>
    <t xml:space="preserve">Última linha DECISÃO da aba Vigilância. Resolve balanceamento (o quebrado é banido), dá valor a deus de nicho como counter-pick, e é a pressão de coleção que vende amplitude sem vender poder. Sem ela o meta converge para 8 deuses e o gacha perde razão de existir.</t>
  </si>
  <si>
    <t xml:space="preserve">Pareamento e ranqueado</t>
  </si>
  <si>
    <t xml:space="preserve">Fila, elo, temporadas, recompensas de fim de temporada.</t>
  </si>
  <si>
    <t xml:space="preserve">pick/ban</t>
  </si>
  <si>
    <t xml:space="preserve">Telemetria</t>
  </si>
  <si>
    <t xml:space="preserve">Registro de toda partida: composições, banimentos, vitórias, duração, uso por habilidade.</t>
  </si>
  <si>
    <t xml:space="preserve">Faça ANTES de lançar, não depois. Sem isso você balanceia 100 deuses por opinião de fórum. Com isso, por evidência.</t>
  </si>
  <si>
    <t xml:space="preserve">FASE 5 — MONETIZAÇÃO</t>
  </si>
  <si>
    <t xml:space="preserve">5</t>
  </si>
  <si>
    <t xml:space="preserve">Invocação no servidor</t>
  </si>
  <si>
    <t xml:space="preserve">Sorteio e teto (pity) do lado do servidor, auditável.</t>
  </si>
  <si>
    <t xml:space="preserve">Sorteio no cliente é fraude esperando acontecer.</t>
  </si>
  <si>
    <t xml:space="preserve">Loja, moedas, pagamentos</t>
  </si>
  <si>
    <t xml:space="preserve">Gema, Essência de Louvor, fragmentos dirigidos, cosméticos.</t>
  </si>
  <si>
    <t xml:space="preserve">invocação</t>
  </si>
  <si>
    <t xml:space="preserve">Conformidade</t>
  </si>
  <si>
    <t xml:space="preserve">Divulgação obrigatória das taxas de sorteio, regras de loot box, faixa etária.</t>
  </si>
  <si>
    <t xml:space="preserve">loja</t>
  </si>
  <si>
    <t xml:space="preserve">Exigência legal em vários mercados e requisito das lojas de aplicativo. Barato se planejado, caro se descoberto na submissão.</t>
  </si>
  <si>
    <t xml:space="preserve">Rotação gratuita</t>
  </si>
  <si>
    <t xml:space="preserve">8 deuses liberados por semana para todos.</t>
  </si>
  <si>
    <t xml:space="preserve">Reduz a barreira do novato e funciona como demonstração de venda.</t>
  </si>
  <si>
    <t xml:space="preserve">FASE 6 — OPERAÇÃO CONTÍNUA</t>
  </si>
  <si>
    <t xml:space="preserve">6</t>
  </si>
  <si>
    <t xml:space="preserve">Balanceamento por temporada</t>
  </si>
  <si>
    <t xml:space="preserve">Ajustes guiados pela telemetria e pela arena de auto-jogo.</t>
  </si>
  <si>
    <t xml:space="preserve">telemetria</t>
  </si>
  <si>
    <t xml:space="preserve">Novos deuses</t>
  </si>
  <si>
    <t xml:space="preserve">O roster de 100 é o começo, não o fim. Cada novo deus entra pelo mesmo pipeline: kit → primitivas → arena → Provação.</t>
  </si>
  <si>
    <t xml:space="preserve">balanceamento</t>
  </si>
  <si>
    <t xml:space="preserve">Eventos e passe</t>
  </si>
  <si>
    <t xml:space="preserve">Calendário de conteúdo.</t>
  </si>
  <si>
    <t xml:space="preserve">Riscos, na ordem em que costumam matar projeto assim</t>
  </si>
  <si>
    <t xml:space="preserve">Risco</t>
  </si>
  <si>
    <t xml:space="preserve">Sinal de alerta</t>
  </si>
  <si>
    <t xml:space="preserve">Como reduzir</t>
  </si>
  <si>
    <t xml:space="preserve">Construir conteúdo antes do motor</t>
  </si>
  <si>
    <t xml:space="preserve">Você está escrevendo o 40º deus e descobre que 'contador acumulável' precisa de outro modelo de dados.</t>
  </si>
  <si>
    <t xml:space="preserve">As primitivas antes dos deuses. É literalmente a ordem da fase 1 e é o item mais fácil de furar por ansiedade.</t>
  </si>
  <si>
    <t xml:space="preserve">O combate não ser divertido</t>
  </si>
  <si>
    <t xml:space="preserve">Você joga 10 partidas e nenhuma decisão pareceu difícil.</t>
  </si>
  <si>
    <t xml:space="preserve">Fase 0 custa uma tarde. Fazer isso ANTES de qualquer investimento é a maior economia disponível no projeto inteiro.</t>
  </si>
  <si>
    <t xml:space="preserve">Balancear por intuição</t>
  </si>
  <si>
    <t xml:space="preserve">Discussão sobre qual deus é forte, sem número nenhum na mesa.</t>
  </si>
  <si>
    <t xml:space="preserve">Arena de auto-jogo (fase 1) + telemetria antes do lançamento (fase 4). Com 100 deuses e pick/ban, intuição não alcança.</t>
  </si>
  <si>
    <t xml:space="preserve">Escopo de MMO com equipe de projeto pequeno</t>
  </si>
  <si>
    <t xml:space="preserve">A lista acima parece um plano de 6 meses.</t>
  </si>
  <si>
    <t xml:space="preserve">Não é: é plurianual se feita inteira. O portão da fase 3 existe justamente para você ter algo lançável e aprender com jogador real antes de pagar servidor, pagamento e conformidade.</t>
  </si>
  <si>
    <t xml:space="preserve">Arte antes das especificações congelarem</t>
  </si>
  <si>
    <t xml:space="preserve">400 ícones prontos e o ladrilho muda de proporção.</t>
  </si>
  <si>
    <t xml:space="preserve">Só comece a arte depois que a tela de batalha estiver aprovada. Os encaixes já têm chave (god-, skill-, effect-), então a especificação está pronta para entregar a quem desenhar.</t>
  </si>
  <si>
    <t xml:space="preserve">Progressão voltar pela porta dos fundos</t>
  </si>
  <si>
    <t xml:space="preserve">'E se cópias repetidas dessem só +5% de dano?'</t>
  </si>
  <si>
    <t xml:space="preserve">Volte à aba LEIA-ME. Num jogo de 100 de vida, 5% decide partida e destrói a leitura, que é o que faz o jogo ser de habilidade. Progressão vive no PvE (fase 3) e em nenhum outro lugar.</t>
  </si>
  <si>
    <t xml:space="preserve">Trabalho que corre em PARALELO, sem travar nada: arte (depois da fase 0), som, e o texto de lore dos 100 deuses. Tudo o mais na lista é sequencial de verdade — a coluna 'Depende de' não é sugestão.</t>
  </si>
  <si>
    <t xml:space="preserve">REGRAS DE COMBATE — o motor</t>
  </si>
  <si>
    <t xml:space="preserve">Estrutura da partida</t>
  </si>
  <si>
    <t xml:space="preserve">Parâmetro</t>
  </si>
  <si>
    <t xml:space="preserve">Valor</t>
  </si>
  <si>
    <t xml:space="preserve">Nota</t>
  </si>
  <si>
    <t xml:space="preserve">Unidades por time</t>
  </si>
  <si>
    <t xml:space="preserve">Escolha deliberada: 3 × 4 habilidades = 12 decisões por turno. É o ponto em que o jogo é profundo e ainda legível de relance. Com 5 unidades viram 20 opções e um caos de controle.</t>
  </si>
  <si>
    <t xml:space="preserve">HP inicial (todos)</t>
  </si>
  <si>
    <t xml:space="preserve">100</t>
  </si>
  <si>
    <t xml:space="preserve">Sem exceção. Guardião e Atacante se diferenciam pelo KIT, não pela vida.</t>
  </si>
  <si>
    <t xml:space="preserve">Condição de vitória</t>
  </si>
  <si>
    <t xml:space="preserve">3 quedas</t>
  </si>
  <si>
    <t xml:space="preserve">Derrote as 3 unidades inimigas.</t>
  </si>
  <si>
    <t xml:space="preserve">Ordem de turno</t>
  </si>
  <si>
    <t xml:space="preserve">alternada</t>
  </si>
  <si>
    <t xml:space="preserve">Você comanda as 3 unidades, depois o oponente comanda as dele. Não há iniciativa por velocidade — velocidade não existe mais.</t>
  </si>
  <si>
    <t xml:space="preserve">Ações por turno</t>
  </si>
  <si>
    <t xml:space="preserve">1 por unidade</t>
  </si>
  <si>
    <t xml:space="preserve">Cada unidade viva escolhe UMA de 5 opções: Básico, Habilidade, Milagre, Defesa (universal) ou passar. A Passiva não é escolha — está sempre ativa. São 15 decisões por turno num time de 3, que é o mesmo peso do Naruto-Arena.</t>
  </si>
  <si>
    <t xml:space="preserve">Cronômetro de turno</t>
  </si>
  <si>
    <t xml:space="preserve">60 s</t>
  </si>
  <si>
    <t xml:space="preserve">Alavanca. NA usava 60 s; abaixo de 45 s decisões de economia de orbe ficam impossíveis.</t>
  </si>
  <si>
    <t xml:space="preserve">Empate técnico</t>
  </si>
  <si>
    <t xml:space="preserve">turno 40</t>
  </si>
  <si>
    <t xml:space="preserve">Alavanca. No turno 40, ganha quem tiver mais HP total. Sem isso, times de cura/revive fazem partidas infinitas.</t>
  </si>
  <si>
    <t xml:space="preserve">Aleatoriedade</t>
  </si>
  <si>
    <t xml:space="preserve">nenhuma no combate</t>
  </si>
  <si>
    <t xml:space="preserve">Não existe crítico, esquiva porcentual, bloqueio porcentual nem 'X% de chance'. O único sorteio do jogo é qual orbe você recebe.</t>
  </si>
  <si>
    <t xml:space="preserve">As 4 entradas de cada deus</t>
  </si>
  <si>
    <t xml:space="preserve">Entrada</t>
  </si>
  <si>
    <t xml:space="preserve">Custo padrão</t>
  </si>
  <si>
    <t xml:space="preserve">Regra</t>
  </si>
  <si>
    <t xml:space="preserve">Básico</t>
  </si>
  <si>
    <t xml:space="preserve">0 ou 1 orbe</t>
  </si>
  <si>
    <t xml:space="preserve">Sem recarga. Sempre disponível. Um deus Silenciado só pode usar o Básico. Suportes costumam ter o Básico grátis — é isso que os torna motores de recurso em vez de dependentes.</t>
  </si>
  <si>
    <t xml:space="preserve">Habilidade</t>
  </si>
  <si>
    <t xml:space="preserve">1 a 2 orbes</t>
  </si>
  <si>
    <t xml:space="preserve">Recarga 1 a 3. O coração do kit.</t>
  </si>
  <si>
    <t xml:space="preserve">Milagre</t>
  </si>
  <si>
    <t xml:space="preserve">3 orbes (2 do elemento + 1 livre)</t>
  </si>
  <si>
    <t xml:space="preserve">Recarga 4 a 5. Substitui a antiga barra de 100 de Devoção. Não existe mais 'encher barra': você paga orbe, como qualquer outra coisa.</t>
  </si>
  <si>
    <t xml:space="preserve">Passiva</t>
  </si>
  <si>
    <t xml:space="preserve">grátis</t>
  </si>
  <si>
    <t xml:space="preserve">Sempre ativa, não gasta a ação, não pode ser removida nem silenciada (salvo se o kit disser o contrário).</t>
  </si>
  <si>
    <t xml:space="preserve">Defesa (universal)</t>
  </si>
  <si>
    <t xml:space="preserve">1 orbe livre</t>
  </si>
  <si>
    <t xml:space="preserve">Recarga 4. NÃO faz parte do kit — toda unidade do jogo tem esta opção. Fica Invulnerável por 1 turno. Gasta a ação da unidade. Ver a seção dedicada abaixo.</t>
  </si>
  <si>
    <t xml:space="preserve">A 5ª ação: DEFESA (universal, não pertence a nenhum kit)</t>
  </si>
  <si>
    <t xml:space="preserve">Toda unidade do jogo, sempre, pode escolher Defesa em vez de uma das suas 4 entradas. Custa 1 orbe livre, recarga 4 turnos, e deixa a unidade Invulnerável por 1 turno. É o slot defensivo do Naruto-Arena, com os mesmos números que aquele jogo calibrou. Ela existe por três razões: dá jogada a quem está sem orbe e sem recarga; cria o jogo mental sobre comprometer um Milagre num alvo que pode ficar imune; e dá razão para dano em área existir.</t>
  </si>
  <si>
    <t xml:space="preserve">Custo</t>
  </si>
  <si>
    <t xml:space="preserve">Qualquer tipo. Três usos numa partida custam o equivalente a um Milagre — é um preço real.</t>
  </si>
  <si>
    <t xml:space="preserve">Recarga</t>
  </si>
  <si>
    <t xml:space="preserve">4 turnos</t>
  </si>
  <si>
    <t xml:space="preserve">Por unidade, não por time. Com 3 unidades você consegue proteger uma por turno em rotação — o que torna focar um alvo caro e recompensa espalhar pressão.</t>
  </si>
  <si>
    <t xml:space="preserve">Efeito</t>
  </si>
  <si>
    <t xml:space="preserve">Invulnerável por 1 turno</t>
  </si>
  <si>
    <t xml:space="preserve">Imune a dano novo e a efeitos novos. Continua podendo ser alvo (diferente de Inalvejável).</t>
  </si>
  <si>
    <t xml:space="preserve">Gasta a ação?</t>
  </si>
  <si>
    <t xml:space="preserve">SIM</t>
  </si>
  <si>
    <t xml:space="preserve">Este é o freio. Defender é abrir mão do turno daquela unidade — nada de dano, nada de cura, nada de controle. Sem isso, a Defesa seria gratuita e o jogo travaria.</t>
  </si>
  <si>
    <t xml:space="preserve">DoT atravessa?</t>
  </si>
  <si>
    <t xml:space="preserve">REGRA IMPORTANTE: Veneno, Queimadura, Sangramento, Maldição e Podridão já aplicados continuam a contar durante a Invulnerabilidade. Só o dano NOVO é bloqueado. É isso que impede a rotação de Defesa de anular a ofensiva do jogo — e é o que dá nicho estrutural a Kagutsuchi, Jörmungandr, Medusa, Piranha e Ah Puch.</t>
  </si>
  <si>
    <t xml:space="preserve">Interage com Silenciar?</t>
  </si>
  <si>
    <t xml:space="preserve">não bloqueia</t>
  </si>
  <si>
    <t xml:space="preserve">Uma unidade Silenciada ainda pode usar Defesa — ela não é uma Habilidade. Uma unidade Atordoada, não: atordoamento tira a ação inteira.</t>
  </si>
  <si>
    <t xml:space="preserve">Quem ignora</t>
  </si>
  <si>
    <t xml:space="preserve">Odin · Shiva</t>
  </si>
  <si>
    <t xml:space="preserve">O Gungnir de Odin e o Terceiro Olho de Shiva ignoram Invulnerabilidade. Com a Defesa universal no jogo, esses dois deixam de ser curiosidade e passam a ser picks premium.</t>
  </si>
  <si>
    <t xml:space="preserve">Como o dano funciona (as 3 categorias — decore isto)</t>
  </si>
  <si>
    <t xml:space="preserve">Categoria</t>
  </si>
  <si>
    <t xml:space="preserve">Sofre redução?</t>
  </si>
  <si>
    <t xml:space="preserve">Regra completa</t>
  </si>
  <si>
    <t xml:space="preserve">Dano afetado (padrão)</t>
  </si>
  <si>
    <t xml:space="preserve">sim</t>
  </si>
  <si>
    <t xml:space="preserve">É o dano normal. Passa por redução de dano e é absorvido por Defesa Destrutível. Se a habilidade não diz nada, é este.</t>
  </si>
  <si>
    <t xml:space="preserve">Dano perfurante</t>
  </si>
  <si>
    <t xml:space="preserve">não</t>
  </si>
  <si>
    <t xml:space="preserve">Ignora redução de dano, MAS ainda é absorvido por Defesa Destrutível. Resposta a bruisers como Thor e Aquiles.</t>
  </si>
  <si>
    <t xml:space="preserve">Dano puro</t>
  </si>
  <si>
    <t xml:space="preserve">Ignora redução E Defesa Destrutível. Resposta a times de escudo. Todo DoT (Veneno, Queimadura, Sangramento, Maldição, Podridão) é dano puro.</t>
  </si>
  <si>
    <t xml:space="preserve">Redução de dano é FLAT, não percentual.</t>
  </si>
  <si>
    <t xml:space="preserve">'10 de redução' significa que cada golpe recebido causa 10 menos (mínimo 0). Flat cria uma decisão real — vale a pena usar um golpe de 12 num alvo com 10 de redução? — enquanto percentual só escala e some da conta do jogador.</t>
  </si>
  <si>
    <t xml:space="preserve">Orçamento de números (use isto ao criar deus novo)</t>
  </si>
  <si>
    <t xml:space="preserve">Tipo de efeito</t>
  </si>
  <si>
    <t xml:space="preserve">Faixa</t>
  </si>
  <si>
    <t xml:space="preserve">Básico — alvo único</t>
  </si>
  <si>
    <t xml:space="preserve">10 a 15</t>
  </si>
  <si>
    <t xml:space="preserve">12 é o padrão; 15 para quem não tem utilidade no Básico. Básico grátis fica em 10.</t>
  </si>
  <si>
    <t xml:space="preserve">Habilidade — alvo único</t>
  </si>
  <si>
    <t xml:space="preserve">20 a 25</t>
  </si>
  <si>
    <t xml:space="preserve">25 só se não vier com controle junto.</t>
  </si>
  <si>
    <t xml:space="preserve">Habilidade — área (3 alvos)</t>
  </si>
  <si>
    <t xml:space="preserve">12 a 15</t>
  </si>
  <si>
    <t xml:space="preserve">Área custa metade do dano de alvo único.</t>
  </si>
  <si>
    <t xml:space="preserve">Milagre — alvo único</t>
  </si>
  <si>
    <t xml:space="preserve">32 a 40</t>
  </si>
  <si>
    <t xml:space="preserve">40 é o teto absoluto. Nada mata do HP cheio em um golpe.</t>
  </si>
  <si>
    <t xml:space="preserve">Milagre — área</t>
  </si>
  <si>
    <t xml:space="preserve">18 a 22</t>
  </si>
  <si>
    <t xml:space="preserve">Acima de 22, uma dupla de Milagres em área vira 'aperte para ganhar'.</t>
  </si>
  <si>
    <t xml:space="preserve">Cura — 1 aliado</t>
  </si>
  <si>
    <t xml:space="preserve">Cura — time</t>
  </si>
  <si>
    <t xml:space="preserve">15 a 25</t>
  </si>
  <si>
    <t xml:space="preserve">25 só em Milagre.</t>
  </si>
  <si>
    <t xml:space="preserve">Defesa Destrutível</t>
  </si>
  <si>
    <t xml:space="preserve">Redução de dano</t>
  </si>
  <si>
    <t xml:space="preserve">5 a 15</t>
  </si>
  <si>
    <t xml:space="preserve">15 é o teto e só em Guardião.</t>
  </si>
  <si>
    <t xml:space="preserve">DoT</t>
  </si>
  <si>
    <t xml:space="preserve">6 a 14 por turno</t>
  </si>
  <si>
    <t xml:space="preserve">Sempre dano puro. Sempre 2 turnos.</t>
  </si>
  <si>
    <t xml:space="preserve">Execução (limiar)</t>
  </si>
  <si>
    <t xml:space="preserve">20 a 25 de HP</t>
  </si>
  <si>
    <t xml:space="preserve">Nunca acima de 25 — o jogo perde a fase mais interessante, que é gerenciar unidade ferida.</t>
  </si>
  <si>
    <t xml:space="preserve">Buff de dano</t>
  </si>
  <si>
    <t xml:space="preserve">+5 a +12</t>
  </si>
  <si>
    <t xml:space="preserve">+12 só em Milagre.</t>
  </si>
  <si>
    <t xml:space="preserve">Atordoar</t>
  </si>
  <si>
    <t xml:space="preserve">1 turno</t>
  </si>
  <si>
    <t xml:space="preserve">2 turnos só via Milagre ou condição cumprida.</t>
  </si>
  <si>
    <t xml:space="preserve">RESOLUÇÃO — quando as coisas acontecem</t>
  </si>
  <si>
    <t xml:space="preserve">As 7 regras de motor. Elas não dizem o que uma habilidade FAZ (isso está em 'Kits NA'), dizem QUANDO. São invisíveis na planilha e fatais no código: é o item mais comum de matar protótipo de jogo por turnos. Todas aprovadas e implementadas no protótipo.</t>
  </si>
  <si>
    <t xml:space="preserve">Contexto travado</t>
  </si>
  <si>
    <t xml:space="preserve">Definição</t>
  </si>
  <si>
    <t xml:space="preserve">Estrutura de turno</t>
  </si>
  <si>
    <t xml:space="preserve">Alternada, informação completa</t>
  </si>
  <si>
    <t xml:space="preserve">Você comanda suas 3 unidades, depois o oponente comanda as dele. Nada é oculto: ambos veem HP, orbes, recargas e efeitos. É o que permite leitura — a camada que faz o jogo ser de habilidade.</t>
  </si>
  <si>
    <t xml:space="preserve">Ação por unidade</t>
  </si>
  <si>
    <t xml:space="preserve">Uma, entre 5 opções</t>
  </si>
  <si>
    <t xml:space="preserve">Básico · Habilidade · Milagre · Defesa (universal) · passar. A Passiva não é escolha.</t>
  </si>
  <si>
    <t xml:space="preserve">As 7 regras</t>
  </si>
  <si>
    <t xml:space="preserve">Decisão</t>
  </si>
  <si>
    <t xml:space="preserve">Por quê / o que ela evita</t>
  </si>
  <si>
    <t xml:space="preserve">Ordem de resolução no turno</t>
  </si>
  <si>
    <t xml:space="preserve">Na ordem que o jogador escolher, uma unidade resolvendo por vez — o estado atualiza entre elas.</t>
  </si>
  <si>
    <t xml:space="preserve">É a única opção que faz combo dentro do mesmo turno funcionar: Ogum destrói a Defesa Destrutível e DEPOIS Zeus explode; Sobek encharca e DEPOIS o Dilúvio bate 30. Com resolução simultânea, todo combo custaria 2 turnos e o jogo ficaria lento e raso.</t>
  </si>
  <si>
    <t xml:space="preserve">Redução antes do escudo</t>
  </si>
  <si>
    <t xml:space="preserve">A redução de dano é aplicada primeiro; o que sobra é absorvido pela Defesa Destrutível.</t>
  </si>
  <si>
    <t xml:space="preserve">Golpe de 25 contra 10 de redução e 20 de escudo: 25−10=15 no escudo, sobram 5 de escudo, 0 de HP perdido. Na ordem inversa, redução e escudo se anulariam e investir nos dois seria desperdício — Guardião perderia a razão de existir.</t>
  </si>
  <si>
    <t xml:space="preserve">DoT conta no início do turno de quem sofre, ANTES de agir</t>
  </si>
  <si>
    <t xml:space="preserve">Veneno, Queimadura, Sangramento, Maldição e Podridão contam antes da unidade escolher a ação.</t>
  </si>
  <si>
    <t xml:space="preserve">É o que transforma DoT num relógio de verdade: unidade com 8 de HP e 10 de Veneno morre sem agir. Parece cruel, mas é informação completa — o jogador viu chegando e escolheu não curar. É também o que faz o DoT ser a resposta estrutural à rotação de Defesa. No fim do turno, DoT seria só dano lento.</t>
  </si>
  <si>
    <t xml:space="preserve">Recarga N = pula N−1 turnos</t>
  </si>
  <si>
    <t xml:space="preserve">O contador é posto em N ao usar e desconta 1 no início de cada turno seu; a habilidade libera em 0.</t>
  </si>
  <si>
    <t xml:space="preserve">Recarga 2 usada no turno 1 volta no turno 3. Recarga 4 (a Defesa) usada no turno 1 volta no turno 5. Recarga 1 volta no turno seguinte — de propósito, são as utilidades baratas (Ogum, Tyr, Ganesha, Nezha). Todos os números dos 100 kits assumem esta convenção.</t>
  </si>
  <si>
    <t xml:space="preserve">Duração em turnos de quem RECEBE</t>
  </si>
  <si>
    <t xml:space="preserve">'Atordoar 1 turno' = perde exatamente 1 ação. 'Buff 2 turnos' = ativo nos 2 próximos turnos do dono. Implementação: as durações descontam no FIM do turno de quem carrega o efeito.</t>
  </si>
  <si>
    <t xml:space="preserve">Sem ambiguidade, e é como os 400 efeitos foram escritos. Se a contagem fosse em rodadas (turno seu + turno dele), todo controle do jogo valeria o dobro do calibrado e o jogo viraria prisão.</t>
  </si>
  <si>
    <t xml:space="preserve">Acúmulo — regra por categoria</t>
  </si>
  <si>
    <t xml:space="preserve">Buff/debuff de dano: SOMAM.
Redução de dano: pega o MAIOR, não soma.
Defesa Destrutível: SOMA.
DoT de mesmo nome: renova a duração, mantém a maior magnitude — não soma.
DoT de nomes diferentes: coexistem.
Controle: NÃO empilha — vence o de maior duração restante.
Regeneração: pega a maior.</t>
  </si>
  <si>
    <t xml:space="preserve">A mais importante das sete — é aqui que moram os combos que quebram jogo. Se tudo somasse, Brahma + Krishna + Nüwa chegaria a +24 de dano e o jogo viraria corrida de buff; redução somando a 30 tornaria unidades imunes à maioria das habilidades. Controle não empilhar é o que impede stunlock de duas fontes — a reclamação nº 1 do Naruto-Arena. E se nada somasse, time de Suporte deixaria de existir.</t>
  </si>
  <si>
    <t xml:space="preserve">Proteção vence controle</t>
  </si>
  <si>
    <t xml:space="preserve">Regra geral: efeito de proteção prevalece sobre efeito de controle. As exceções são só as escritas nos kits — Odin e Shiva ignoram Invulnerabilidade; Hórus, Hou Yi e Boitatá ignoram Inalvejável; Perseu devolve atordoamento.
Regra extra: se o provocador fica Inalvejável ou Invulnerável, o Provocar dele é SUSPENSO.</t>
  </si>
  <si>
    <t xml:space="preserve">Sem a regra extra, Provocar + tornar-se intocável tranca uma unidade sem nenhuma ação possível. Travamento total é o risco mais frustrante que existe neste gênero, e ele apareceria de graça pela combinação de duas habilidades que isoladamente são justas.</t>
  </si>
  <si>
    <t xml:space="preserve">Sequência exata de um turno (pseudocódigo do motor)</t>
  </si>
  <si>
    <t xml:space="preserve">1. INÍCIO DO TURNO do jogador ativo</t>
  </si>
  <si>
    <t xml:space="preserve">2.   DoT conta em cada unidade dele (regra 3) — mortes aqui já valem</t>
  </si>
  <si>
    <t xml:space="preserve">3.   Regeneração cura em cada unidade dele</t>
  </si>
  <si>
    <t xml:space="preserve">4.   Recargas dele descontam 1 (regra 4)</t>
  </si>
  <si>
    <t xml:space="preserve">5.   Gera orbes: 1 por unidade viva, sorteado entre os elementos do time — unidades Adormecidas, Dominadas ou Submersas não geram</t>
  </si>
  <si>
    <t xml:space="preserve">6.   Libera 1 conversão de orbe (3→1) para este turno</t>
  </si>
  <si>
    <t xml:space="preserve">7. AÇÕES — para cada unidade viva, na ordem escolhida pelo jogador (regra 1):</t>
  </si>
  <si>
    <t xml:space="preserve">8.     se Atordoada/Selada/Adormecida/Submersa: não age</t>
  </si>
  <si>
    <t xml:space="preserve">9.     escolhe Básico · Habilidade · Milagre · Defesa · passar</t>
  </si>
  <si>
    <t xml:space="preserve">10.    paga orbes, aplica efeito, estado atualiza IMEDIATAMENTE antes da próxima unidade</t>
  </si>
  <si>
    <t xml:space="preserve">11.    cálculo de dano: base + buffs − debuffs → redução (maior) → escudo (soma) → HP  [regras 2 e 6]</t>
  </si>
  <si>
    <t xml:space="preserve">12. FIM DO TURNO do jogador ativo</t>
  </si>
  <si>
    <t xml:space="preserve">13.   durações dos efeitos nas unidades DELE descontam 1; as que chegam a 0 saem (regra 5)</t>
  </si>
  <si>
    <t xml:space="preserve">14.   checa vitória (3 quedas) e o empate técnico do turno 40</t>
  </si>
  <si>
    <t xml:space="preserve">15. passa a vez</t>
  </si>
  <si>
    <t xml:space="preserve">Contradições nos kits que só apareceram ao construir o motor</t>
  </si>
  <si>
    <t xml:space="preserve">Onde</t>
  </si>
  <si>
    <t xml:space="preserve">O problema</t>
  </si>
  <si>
    <t xml:space="preserve">Correção aplicada</t>
  </si>
  <si>
    <t xml:space="preserve">Nezha — Rodas de Vento e Fogo</t>
  </si>
  <si>
    <t xml:space="preserve">O texto dizia '+10 se Nezha já agiu neste turno'. Impossível: uma unidade age uma vez por turno.</t>
  </si>
  <si>
    <t xml:space="preserve">Passou a ser '+10 se outro aliado já agiu neste turno' (regra 1 dá sentido a isso: você guarda o Nezha para o fim do turno).</t>
  </si>
  <si>
    <t xml:space="preserve">Fujin — Companheiro de Raijin</t>
  </si>
  <si>
    <t xml:space="preserve">A passiva só funciona com Raijin no time, e Raijin não é inicial. Um dos 9 iniciais tem passiva morta.</t>
  </si>
  <si>
    <t xml:space="preserve">Mantida como está por fidelidade, e marcada como INERTE no protótipo. É uma decisão sua: ou Raijin entra nos iniciais, ou Fujin ganha uma passiva com valor autônomo.</t>
  </si>
  <si>
    <t xml:space="preserve">Cuca — Só Dorme de Sete em Sete Anos</t>
  </si>
  <si>
    <t xml:space="preserve">'A cada 3 turnos, usa o Básico de graça' não dizia se substitui a ação ou é extra.</t>
  </si>
  <si>
    <t xml:space="preserve">Definido como: o Básico dela não custa orbe nesses turnos. Não é ação extra — isso quebraria a regra de 1 ação por unidade.</t>
  </si>
  <si>
    <t xml:space="preserve">Brigid — Ferreira Divina</t>
  </si>
  <si>
    <t xml:space="preserve">'Curas curam +5 se algum inimigo estiver com Queimadura' — inimigo ou aliado? E soma com o +5 do Nefertem?</t>
  </si>
  <si>
    <t xml:space="preserve">Definido: qualquer unidade no campo com Queimadura ativa. Bônus de cura somam entre si (não são redução).</t>
  </si>
  <si>
    <t xml:space="preserve">Conversão de orbe — EXPLOIT</t>
  </si>
  <si>
    <t xml:space="preserve">Se todos os seus orbes fossem do MESMO tipo que você escolheu converter, a rotina não achava de onde tirar os 3 e creditava 1 orbe sem cobrar nada. Orbe de graça todo turno.</t>
  </si>
  <si>
    <t xml:space="preserve">Reescrita: calcula o plano de gasto primeiro, confere que soma exatamente 3, e só então credita. Se não fechar 3, devolve tudo e recusa. 30 cenários no teste automatizado.</t>
  </si>
  <si>
    <t xml:space="preserve">Passiva de estreia (Ganesha)</t>
  </si>
  <si>
    <t xml:space="preserve">'No turno 1 o time ganha 2 orbes' disparava por turno GLOBAL, não por lado. O Jogador 2 nunca recebia — assimetria invisível que favorecia quem começava.</t>
  </si>
  <si>
    <t xml:space="preserve">'Turno 1' passou a ser por LADO (flag 'estreou'). Vale para qualquer passiva de estreia no roster.</t>
  </si>
  <si>
    <t xml:space="preserve">Cuca — O Papão</t>
  </si>
  <si>
    <t xml:space="preserve">45 de dano contra Adormecido SOMAVA com o +8 que o próprio sono concede, chegando a 53 — acima do teto de 40 documentado para Milagre de alvo único, e perto de matar do HP cheio.</t>
  </si>
  <si>
    <t xml:space="preserve">Reduzido para 38, que com o +8 fecha em 46. Continua sendo o maior pico do jogo, mas exige 2 turnos de preparo (dormir e depois nukear) e não mata de 100.</t>
  </si>
  <si>
    <t xml:space="preserve">Ganesha — Abrir Caminho</t>
  </si>
  <si>
    <t xml:space="preserve">A planilha dizia 'todos os buffs de 1 inimigo' e o motor fazia 'todos os buffs de TODOS'. Além de divergentes, a versão da planilha exige selecionar 2 alvos (1 aliado + 1 inimigo) numa habilidade de recarga 1.</t>
  </si>
  <si>
    <t xml:space="preserve">Unificado em 'remove todos os debuffs de 1 aliado e 1 BUFF DE CADA inimigo'. Orçamento equivalente, alvo único, sem precisar de seleção dupla. Seleção de 2 alvos fica para Hera e Thor, que a exigem de fato.</t>
  </si>
  <si>
    <t xml:space="preserve">Toque na energia gastava na hora</t>
  </si>
  <si>
    <t xml:space="preserve">A regra 'tocar nunca gasta' valia para habilidades, mas tocar numa pílula de energia converter 3 orbes imediatamente. Inconsistência que gerava gasto acidental.</t>
  </si>
  <si>
    <t xml:space="preserve">A conversão passou a seguir o mesmo modelo: 1º toque arma e mostra exatamente quais energias serão gastas; CONFIRMAR executa; CANCELAR desfaz. Nada no jogo muda de estado com um único toque.</t>
  </si>
  <si>
    <t xml:space="preserve">Estas quatro apareceram em duas horas de implementação dos 9 iniciais. Extrapolando, os 91 deuses restantes devem esconder umas 30 ambiguidades parecidas — e é exatamente por isso que o motor vem antes do conteúdo.</t>
  </si>
  <si>
    <t xml:space="preserve">ORBES ELEMENTAIS — o chakra do jogo</t>
  </si>
  <si>
    <t xml:space="preserve">Esta é a maior mudança do arquivo. No original, a Devoção era uma barra que enchia sozinha até 100 e liberava o Milagre — ou seja, um recurso passivo, sem decisão. Aqui ela se torna o chakra do Naruto-Arena, usando os 6 elementos que o roster já tinha. Toda a textura estratégica do jogo nasce daqui: economizar, guardar para combo, e negar o recurso do oponente.</t>
  </si>
  <si>
    <t xml:space="preserve">Geração</t>
  </si>
  <si>
    <t xml:space="preserve">Detalhe</t>
  </si>
  <si>
    <t xml:space="preserve">Orbes por turno</t>
  </si>
  <si>
    <t xml:space="preserve">1 por unidade viva</t>
  </si>
  <si>
    <t xml:space="preserve">Com 3 unidades vivas você recebe 3 orbes por turno. Ao perder uma unidade, você recebe 2 — perder um deus é perder economia, não só dano. Isso é o que faz uma partida virar.</t>
  </si>
  <si>
    <t xml:space="preserve">Tipo do orbe</t>
  </si>
  <si>
    <t xml:space="preserve">sorteado entre os elementos do SEU time</t>
  </si>
  <si>
    <t xml:space="preserve">Se o seu time é Zeus (Tempestade) + Hades (Umbra) + Atena (Aurora), você só sorteia esses 3 tipos. Time mono-elemento tem geração previsível; time arco-íris tem acesso flexível mas incerto.</t>
  </si>
  <si>
    <t xml:space="preserve">Acúmulo</t>
  </si>
  <si>
    <t xml:space="preserve">sem teto</t>
  </si>
  <si>
    <t xml:space="preserve">Orbe não usado fica guardado. Guardar 4 turnos para um Milagre é jogada legítima — e é exatamente onde os Manipuladores atacam.</t>
  </si>
  <si>
    <t xml:space="preserve">Orbe 'livre'</t>
  </si>
  <si>
    <t xml:space="preserve">qualquer tipo</t>
  </si>
  <si>
    <t xml:space="preserve">Nos custos, 'livre' significa qualquer orbe. Milagres custam '2 do elemento + 1 livre'.</t>
  </si>
  <si>
    <t xml:space="preserve">Custo de dois elementos</t>
  </si>
  <si>
    <t xml:space="preserve">não existe</t>
  </si>
  <si>
    <t xml:space="preserve">Nenhuma habilidade pede dois elementos diferentes específicos. Mantém o jogo legível.</t>
  </si>
  <si>
    <t xml:space="preserve">6 no jogo, 3 por time</t>
  </si>
  <si>
    <t xml:space="preserve">consequência da regra</t>
  </si>
  <si>
    <t xml:space="preserve">Existem 6 elementos no roster, mas um time de 3 deuses gera no máximo 3 tipos — o sorteio só considera os elementos das unidades vivas. Três dos seis contadores ficariam em zero para sempre, então a interface exibe apenas os alcançáveis. Isso não reduz o jogo: a escolha de quais 3 elementos levar É a decisão de composição.</t>
  </si>
  <si>
    <t xml:space="preserve">Conversão — a saída de emergência</t>
  </si>
  <si>
    <t xml:space="preserve">Taxa</t>
  </si>
  <si>
    <t xml:space="preserve">3 orbes quaisquer → 1 do tipo que você escolher</t>
  </si>
  <si>
    <t xml:space="preserve">A taxa é ruim de propósito. Ela existe para salvar uma partida perdida por azar de sorteio, não para ser engrenagem do turno.</t>
  </si>
  <si>
    <t xml:space="preserve">Frequência</t>
  </si>
  <si>
    <t xml:space="preserve">1× por turno</t>
  </si>
  <si>
    <t xml:space="preserve">Por time, não por unidade.</t>
  </si>
  <si>
    <t xml:space="preserve">Gasta ação?</t>
  </si>
  <si>
    <t xml:space="preserve">NÃO</t>
  </si>
  <si>
    <t xml:space="preserve">É um botão, não uma jogada. Converter e agir com as 3 unidades no mesmo turno é permitido.</t>
  </si>
  <si>
    <t xml:space="preserve">Bloqueável?</t>
  </si>
  <si>
    <t xml:space="preserve">Nem Heimdall nem ninguém bloqueia conversão — a passiva dele impede roubo e remoção, que é outra coisa.</t>
  </si>
  <si>
    <t xml:space="preserve">Por que ela existe</t>
  </si>
  <si>
    <t xml:space="preserve">Sem conversão, o time mono-elemento é o mais forte do jogo (sorteio previsível = combo confiável) e o time arco-íris vira armadilha. Isso mataria a razão de colecionar deuses de elementos variados — exatamente o oposto do que um gacha precisa.</t>
  </si>
  <si>
    <t xml:space="preserve">O que ela NÃO faz</t>
  </si>
  <si>
    <t xml:space="preserve">Não apaga a diferença entre as composições. Mono-elemento continua mais confiável; arco-íris continua mais versátil e mais caro de operar. A 3:1 o custo é alto o bastante para preservar essa escolha. A 2:1 o elemento quase deixaria de importar.</t>
  </si>
  <si>
    <t xml:space="preserve">Paga SEMPRE 3</t>
  </si>
  <si>
    <t xml:space="preserve">regra dura</t>
  </si>
  <si>
    <t xml:space="preserve">A rotina calcula o plano de gasto, confere que soma exatamente 3 e só então credita 1. Se não fechar 3, recusa e devolve. Sem essa trava havia um exploit: com os 3 orbes todos do tipo escolhido, o jogo creditava 1 de graça.</t>
  </si>
  <si>
    <t xml:space="preserve">Alvo da conversão</t>
  </si>
  <si>
    <t xml:space="preserve">só elementos do seu time</t>
  </si>
  <si>
    <t xml:space="preserve">Converter para um elemento que nenhum dos seus 3 deuses usa é sempre desperdício — as habilidades custam o elemento do próprio deus ou energia livre. A interface mostra apenas os tipos alcançáveis, por isso.</t>
  </si>
  <si>
    <t xml:space="preserve">Os 6 tipos e a identidade estratégica de cada um</t>
  </si>
  <si>
    <t xml:space="preserve">Elemento</t>
  </si>
  <si>
    <t xml:space="preserve">Nº no roster</t>
  </si>
  <si>
    <t xml:space="preserve">Identidade</t>
  </si>
  <si>
    <t xml:space="preserve">Tempestade</t>
  </si>
  <si>
    <t xml:space="preserve">Dano em cadeia, manipulação de recarga e de turno. Combina com Encharcado (bônus contra alvos molhados).</t>
  </si>
  <si>
    <t xml:space="preserve">Umbra</t>
  </si>
  <si>
    <t xml:space="preserve">Controle, DoT, execução, ganho de recurso ao matar. O elemento mais representado e o mais perigoso de deixar sem banimento.</t>
  </si>
  <si>
    <t xml:space="preserve">Maré</t>
  </si>
  <si>
    <t xml:space="preserve">Aplica Encharcado e o explora. Habilitador — quase sempre quer um parceiro Tempestade ou Maré.</t>
  </si>
  <si>
    <t xml:space="preserve">Aurora</t>
  </si>
  <si>
    <t xml:space="preserve">Cura, escudo, buff, remoção de debuff. A espinha dorsal defensiva. Ativa o DIA.</t>
  </si>
  <si>
    <t xml:space="preserve">Chama</t>
  </si>
  <si>
    <t xml:space="preserve">DoT (Queimadura) e bruisers que escalam com HP perdido.</t>
  </si>
  <si>
    <t xml:space="preserve">Verdejante</t>
  </si>
  <si>
    <t xml:space="preserve">Regeneração, invocação, geração de orbe, remoção de buff. O contrapeso econômico.</t>
  </si>
  <si>
    <t xml:space="preserve">TOTAL</t>
  </si>
  <si>
    <t xml:space="preserve">Negação de orbe — o arquétipo mais forte do jogo</t>
  </si>
  <si>
    <t xml:space="preserve">Em Naruto-Arena, os times de drenar chakra dominavam o meta porque privar o oponente de recurso é mais forte que causar dano. Seu roster JÁ tinha esses personagens escritos — eles só mexiam numa barra de ultimate. Agora eles estrangulam a mão do oponente. Vigie estes: Exu (age primeiro e gera orbe de graça todo turno), Hermes e Saci (roubam 2 orbes), Dionísio e Orfeu (inimigo sob controle não gera orbe), Shuten Dōji (rouba HP e orbe), Mimir (remove orbe). Heimdall é a resposta direta: bloqueia roubo e remoção. Se você fizer um único ajuste depois de jogar, provavelmente vai ser aqui.</t>
  </si>
  <si>
    <t xml:space="preserve">OS 9 INICIAIS — grátis para todo jogador, desde a primeira partida</t>
  </si>
  <si>
    <t xml:space="preserve">Nove, não menos. Com 3 unidades por time, 9 deuses dão 84 combinações de formação — o jogador novo experimenta de verdade em vez de repetir o único time possível. E são poucos o bastante para que invocar continue valendo: 9 de 100.</t>
  </si>
  <si>
    <t xml:space="preserve">Os nove</t>
  </si>
  <si>
    <t xml:space="preserve">Nome</t>
  </si>
  <si>
    <t xml:space="preserve">Facção</t>
  </si>
  <si>
    <t xml:space="preserve">Classe</t>
  </si>
  <si>
    <t xml:space="preserve">Função</t>
  </si>
  <si>
    <t xml:space="preserve">O que ensina</t>
  </si>
  <si>
    <t xml:space="preserve">Por que este e não outro</t>
  </si>
  <si>
    <t xml:space="preserve">Zeus</t>
  </si>
  <si>
    <t xml:space="preserve">Grega</t>
  </si>
  <si>
    <t xml:space="preserve">Mágico</t>
  </si>
  <si>
    <t xml:space="preserve">Atacante</t>
  </si>
  <si>
    <t xml:space="preserve">Dano em área e controle seletivo de classe (trava habilidades Mágicas).</t>
  </si>
  <si>
    <t xml:space="preserve">O deus mais reconhecível do jogo tem que ser grátis — é a cara do produto. E o kit é o mais didático que existe: um dano, um dano com controle, uma área com debuff, e um passivo que recompensa fechar abate.</t>
  </si>
  <si>
    <t xml:space="preserve">Ogum</t>
  </si>
  <si>
    <t xml:space="preserve">Africana</t>
  </si>
  <si>
    <t xml:space="preserve">Físico</t>
  </si>
  <si>
    <t xml:space="preserve">Como matar um tanque: dano perfurante, destruir Defesa Destrutível, dano puro.</t>
  </si>
  <si>
    <t xml:space="preserve">Todo jogador novo trava na primeira parede de escudo e desiste. Ogum é a resposta desenhada para isso e precisa estar disponível desde o turno zero — sem ele, o iniciante conclui que o jogo é injusto.</t>
  </si>
  <si>
    <t xml:space="preserve">Tyr</t>
  </si>
  <si>
    <t xml:space="preserve">Nórdica</t>
  </si>
  <si>
    <t xml:space="preserve">Guardião</t>
  </si>
  <si>
    <t xml:space="preserve">Provocar, redução de dano, e imunidade a controle para o time.</t>
  </si>
  <si>
    <t xml:space="preserve">Básico grátis (economia), Provocar barato, e um Milagre que salva o time de uma prisão de controle. É o antídoto do arquétipo mais frustrante do jogo, na mão de quem tem menos ferramentas.</t>
  </si>
  <si>
    <t xml:space="preserve">Sobek</t>
  </si>
  <si>
    <t xml:space="preserve">Egípcia</t>
  </si>
  <si>
    <t xml:space="preserve">Submergir (tirar um inimigo do jogo por 1 turno) e explorar Encharcado.</t>
  </si>
  <si>
    <t xml:space="preserve">Ensina que remover um inimigo do tabuleiro por um turno vale mais que 25 de dano. E o Dilúvio batendo 30 em Encharcados dá ao iniciante a primeira sinergia que ele descobre sozinho.</t>
  </si>
  <si>
    <t xml:space="preserve">Brigid</t>
  </si>
  <si>
    <t xml:space="preserve">Celta</t>
  </si>
  <si>
    <t xml:space="preserve">Suporte</t>
  </si>
  <si>
    <t xml:space="preserve">Curar e causar dano no mesmo golpe; DoT; buff permanente de time.</t>
  </si>
  <si>
    <t xml:space="preserve">A Chama Sagrada cura os seus E queima os deles com uma ação. É a lição de eficiência de ação mais importante do jogo, e faz o iniciante entender por que uma ação vale mais que um número.</t>
  </si>
  <si>
    <t xml:space="preserve">Ganesha</t>
  </si>
  <si>
    <t xml:space="preserve">Hindu</t>
  </si>
  <si>
    <t xml:space="preserve">Remoção dupla (tira debuff do seu, tira buff do dele) e geração de orbe.</t>
  </si>
  <si>
    <t xml:space="preserve">Recarga 1 no Abrir Caminho ensina dispel nos dois sentidos, que é a resposta a metade do roster. O passivo de 2 orbes no turno 1 dá ao iniciante o primeiro gostinho de vantagem econômica.</t>
  </si>
  <si>
    <t xml:space="preserve">Cuca</t>
  </si>
  <si>
    <t xml:space="preserve">Brasileira</t>
  </si>
  <si>
    <t xml:space="preserve">Controlador</t>
  </si>
  <si>
    <t xml:space="preserve">Adormecer, e o combo controle → negação de orbe.</t>
  </si>
  <si>
    <t xml:space="preserve">Adormecido recebe +8 de dano e não gera orbe. É a forma mais limpa de ensinar a lição central do jogo: privar o oponente de recurso vence mais partidas que causar dano.</t>
  </si>
  <si>
    <t xml:space="preserve">Fujin</t>
  </si>
  <si>
    <t xml:space="preserve">Japonesa</t>
  </si>
  <si>
    <t xml:space="preserve">Manipulador</t>
  </si>
  <si>
    <t xml:space="preserve">Guerra de recarga: atrasar a deles, adiantar a sua.</t>
  </si>
  <si>
    <t xml:space="preserve">Não causa quase dano nenhum e ganha partidas. É a unidade que ensina que o relógio é um recurso — e o gancho para o jogador querer o Raijin, que é o parceiro escrito no kit.</t>
  </si>
  <si>
    <t xml:space="preserve">Nezha</t>
  </si>
  <si>
    <t xml:space="preserve">Chinesa</t>
  </si>
  <si>
    <t xml:space="preserve">Híbrido</t>
  </si>
  <si>
    <t xml:space="preserve">Alternância de modo (Anel/Manto), imunidade a DoT, retorno após queda.</t>
  </si>
  <si>
    <t xml:space="preserve">O único Híbrido inicial, então o iniciante tem uma unidade que não morre para controle e redução seletivos de classe. Arsenal Celeste com recarga 1 ensina a escolher entre controle e área a cada turno.</t>
  </si>
  <si>
    <t xml:space="preserve">Regras que a seleção obedece</t>
  </si>
  <si>
    <t xml:space="preserve">Critério</t>
  </si>
  <si>
    <t xml:space="preserve">Como foi cumprido</t>
  </si>
  <si>
    <t xml:space="preserve">Os 6 elementos, todos cobertos</t>
  </si>
  <si>
    <t xml:space="preserve">Tempestade (Zeus, Fujin) · Verdejante (Ogum, Ganesha) · Aurora (Tyr) · Maré (Sobek) · Chama (Brigid, Nezha) · Umbra (Cuca). Sem isso, metade das habilidades do roster seria impagável para um jogador novo — o custo em orbe é do elemento do deus.</t>
  </si>
  <si>
    <t xml:space="preserve">As 5 funções, todas cobertas</t>
  </si>
  <si>
    <t xml:space="preserve">3 Atacante · 2 Guardião · 2 Suporte · 1 Controlador · 1 Manipulador. Um só Controlador nominal, mas o controle está distribuído: Sobek submerge, Tyr provoca, Fujin trava recarga, Zeus trava habilidades Mágicas.</t>
  </si>
  <si>
    <t xml:space="preserve">Toda resposta essencial presente</t>
  </si>
  <si>
    <t xml:space="preserve">Contra tanque: Ogum (perfurante, destrói escudo, dano puro). Contra prisão de controle: Tyr e Ganesha. Contra cura: Ogum e Brigid. Contra economia: Cuca e Fujin. Se qualquer uma faltasse, o iniciante concluiria que o jogo é pay-to-win — e estaria certo.</t>
  </si>
  <si>
    <t xml:space="preserve">Nenhum kit de complexidade alta</t>
  </si>
  <si>
    <t xml:space="preserve">Sem revive, sem execução, sem contador acumulável, sem estado global de campo. O jogador aprende essas mecânicas SOFRENDO com elas primeiro, que é a forma certa de aprender.</t>
  </si>
  <si>
    <t xml:space="preserve">9 panteões diferentes</t>
  </si>
  <si>
    <t xml:space="preserve">Só a Maia fica de fora — e ela é o Ato II da campanha, então aparece cedo de todo jeito. O jogador vê a amplitude cultural do jogo na primeira hora.</t>
  </si>
  <si>
    <t xml:space="preserve">Uma unidade Híbrido</t>
  </si>
  <si>
    <t xml:space="preserve">Nezha. Sem ela, todo o time inicial seria Físico ou Mágico e morreria inteiro para controle e redução seletivos de classe (Zeus trava Mágico, Oni reduz Mágico, Aquiles apanha de Manipulador).</t>
  </si>
  <si>
    <t xml:space="preserve">Time inicial competitivo, não só funcional</t>
  </si>
  <si>
    <t xml:space="preserve">Ogum + Tyr + Brigid ganha de composições montadas com deuses invocados. Isso é obrigatório: se o iniciante não conseguir ganhar nada, ele não fica para invocar depois.</t>
  </si>
  <si>
    <t xml:space="preserve">Três times iniciais que funcionam (dê estes como sugestão no tutorial)</t>
  </si>
  <si>
    <t xml:space="preserve">Time</t>
  </si>
  <si>
    <t xml:space="preserve">Como joga</t>
  </si>
  <si>
    <t xml:space="preserve">Ogum · Tyr · Brigid</t>
  </si>
  <si>
    <t xml:space="preserve">O time honesto. Tyr provoca e absorve, Brigid cura e queima ao mesmo tempo, Ogum abre qualquer defesa. Geração de orbe: Verdejante, Aurora, Chama — previsível o bastante para planejar o Milagre do Ogum.</t>
  </si>
  <si>
    <t xml:space="preserve">Cuca · Fujin · Zeus</t>
  </si>
  <si>
    <t xml:space="preserve">O time de negação. Cuca adormece (o alvo para de gerar orbe), Fujin empurra as recargas inimigas, Zeus trava habilidades Mágicas e limpa. O oponente passa a partida sem poder agir. É o time que ensina que recurso vence dano — e o mais odiado.</t>
  </si>
  <si>
    <t xml:space="preserve">Sobek · Nezha · Ganesha</t>
  </si>
  <si>
    <t xml:space="preserve">O time de tempo. Sobek submerge um inimigo por turno, Nezha alterna trava e área, Ganesha limpa e adianta recarga. Sinergia escondida: Sobek encharca, e o Dilúvio dele bate 30 em Encharcado.</t>
  </si>
  <si>
    <t xml:space="preserve">Alavanca: se o playtest mostrar que 9 é pouco, o próximo a entrar é Bragi (buff simples, Básico grátis). Se for muito, o primeiro a sair é Nezha — é o kit mais denso dos nove.</t>
  </si>
  <si>
    <t xml:space="preserve">PROVAÇÕES — as 91 rotas gratuitas de desbloqueio</t>
  </si>
  <si>
    <t xml:space="preserve">As regras do sistema (formato, níveis, gates, Defesa do inimigo) estão na aba 'Aquisição'. Esta aba é só a lista. Use os filtros do cabeçalho para ordenar por nível, facção ou requisito.</t>
  </si>
  <si>
    <t xml:space="preserve">Deus</t>
  </si>
  <si>
    <t xml:space="preserve">Nível</t>
  </si>
  <si>
    <t xml:space="preserve">Dif.</t>
  </si>
  <si>
    <t xml:space="preserve">Título da Provação</t>
  </si>
  <si>
    <t xml:space="preserve">Time inimigo (fixo)</t>
  </si>
  <si>
    <t xml:space="preserve">Requisito</t>
  </si>
  <si>
    <t xml:space="preserve">Hades</t>
  </si>
  <si>
    <t xml:space="preserve">Ordália</t>
  </si>
  <si>
    <t xml:space="preserve">O Portão Não Se Abre</t>
  </si>
  <si>
    <t xml:space="preserve">Bennu · Nezha · Chang'e (os três voltam da morte)</t>
  </si>
  <si>
    <t xml:space="preserve">Elimine os três em definitivo. Bennu e Nezha renascem; Chang'e não cai abaixo de 1 de HP. Só a execução dos Portões do Submundo e as Correntes do Tártaro resolvem — você tem 3 usos do Milagre em 14 turnos.</t>
  </si>
  <si>
    <t xml:space="preserve">Cap. 8</t>
  </si>
  <si>
    <t xml:space="preserve">Poseidon</t>
  </si>
  <si>
    <t xml:space="preserve">Provação</t>
  </si>
  <si>
    <t xml:space="preserve">A Maré Não Espera</t>
  </si>
  <si>
    <t xml:space="preserve">Kagutsuchi · Mula sem Cabeça · Hércules</t>
  </si>
  <si>
    <t xml:space="preserve">Vença em 8 turnos. Cada inimigo tem de estar Encharcado no momento em que cai — se algum morrer seco, a Provação falha.</t>
  </si>
  <si>
    <t xml:space="preserve">Atena</t>
  </si>
  <si>
    <t xml:space="preserve">Nenhum Escudo Cai</t>
  </si>
  <si>
    <t xml:space="preserve">Ogum · Aquiles · Tyr (os três atravessam escudo)</t>
  </si>
  <si>
    <t xml:space="preserve">Vença sem perder um aliado, contra o time desenhado para anular a Égide: Ogum destrói Defesa Destrutível, Aquiles causa dano puro, o dano de Tyr não pode ser reduzido nem absorvido. Você não pode usar o Milagre.</t>
  </si>
  <si>
    <t xml:space="preserve">Possuir 12 deuses</t>
  </si>
  <si>
    <t xml:space="preserve">Ares</t>
  </si>
  <si>
    <t xml:space="preserve">Rito</t>
  </si>
  <si>
    <t xml:space="preserve">Sangue por Sangue</t>
  </si>
  <si>
    <t xml:space="preserve">Autômato de Bronze · Golem Rúnico · Guardião do Bosque</t>
  </si>
  <si>
    <t xml:space="preserve">Vença com Ares abaixo de 30 de HP no golpe final. Curar Ares acima de 60 anula a Provação — ele precisa apanhar para bater.</t>
  </si>
  <si>
    <t xml:space="preserve">Apolo</t>
  </si>
  <si>
    <t xml:space="preserve">A Aurora Não Erra</t>
  </si>
  <si>
    <t xml:space="preserve">Medusa · Jörmungandr · Kagutsuchi (Veneno e Queimadura em tudo)</t>
  </si>
  <si>
    <t xml:space="preserve">Vença em 10 turnos sem perder um aliado. Apolo é o único curandeiro e você não pode usar o Milagre dele — só a Canção da Cura, recarga 2, contra três fontes de DoT.</t>
  </si>
  <si>
    <t xml:space="preserve">Afrodite</t>
  </si>
  <si>
    <t xml:space="preserve">Que Se Matem</t>
  </si>
  <si>
    <t xml:space="preserve">Kali · Durga · Hórus (dano altíssimo)</t>
  </si>
  <si>
    <t xml:space="preserve">Pelo menos dois dos três inimigos têm de ser derrotados por aliados deles, via Encanto ou Paixão Fatal. Abate feito pelo seu time não conta para esses dois.</t>
  </si>
  <si>
    <t xml:space="preserve">Cap. 6</t>
  </si>
  <si>
    <t xml:space="preserve">Hera</t>
  </si>
  <si>
    <t xml:space="preserve">O Juramento</t>
  </si>
  <si>
    <t xml:space="preserve">Zeus · Perseu · Durga (explosão de alvo único)</t>
  </si>
  <si>
    <t xml:space="preserve">Vença sem perder um aliado, e o Juramento Nupcial tem de estar ativo no turno em que o último inimigo cai.</t>
  </si>
  <si>
    <t xml:space="preserve">Deméter</t>
  </si>
  <si>
    <t xml:space="preserve">A Colheita Retorna</t>
  </si>
  <si>
    <t xml:space="preserve">Ammit · Anúbis · Hel (os três bloqueiam revive)</t>
  </si>
  <si>
    <t xml:space="preserve">Você começa com dois aliados já caídos. Traga os dois de volta e vença — mas Ammit impede revive de quem ela matou, Anúbis sela e Hel marca. Você tem de limpar as marcas antes de reviver.</t>
  </si>
  <si>
    <t xml:space="preserve">Dionísio</t>
  </si>
  <si>
    <t xml:space="preserve">O Banquete</t>
  </si>
  <si>
    <t xml:space="preserve">Rá · Brahma · Itzamná (os três acumulam recurso)</t>
  </si>
  <si>
    <t xml:space="preserve">Vença sem que nenhum inimigo consiga usar um único Milagre em 12 turnos. Silêncio, Bacanal e o passivo de negação de orbe são as únicas ferramentas.</t>
  </si>
  <si>
    <t xml:space="preserve">Hermes</t>
  </si>
  <si>
    <t xml:space="preserve">Roubo Perfeito</t>
  </si>
  <si>
    <t xml:space="preserve">Heimdall · Exu · Oxum (Heimdall bloqueia roubo)</t>
  </si>
  <si>
    <t xml:space="preserve">Você começa com 0 orbes e não recebe geração nenhuma na partida — só pode gastar orbe roubado. E Heimdall bloqueia roubo enquanto vive, então ele tem de cair primeiro, com o Básico.</t>
  </si>
  <si>
    <t xml:space="preserve">Possuir 20 deuses</t>
  </si>
  <si>
    <t xml:space="preserve">Hércules</t>
  </si>
  <si>
    <t xml:space="preserve">Os Doze Trabalhos</t>
  </si>
  <si>
    <t xml:space="preserve">Ymir · Golem Rúnico · Thor (muito HP e redução)</t>
  </si>
  <si>
    <t xml:space="preserve">O golpe final tem de ser Os Doze Trabalhos com no mínimo 5 acúmulos (+20 de dano). Usar o Milagre em qualquer momento anula a Provação — a paciência é o teste.</t>
  </si>
  <si>
    <t xml:space="preserve">Aquiles</t>
  </si>
  <si>
    <t xml:space="preserve">O Calcanhar</t>
  </si>
  <si>
    <t xml:space="preserve">Hermes · Loki · Saci (três Manipuladores: +10 de dano contra Aquiles)</t>
  </si>
  <si>
    <t xml:space="preserve">Vença sem que Aquiles caia abaixo de 40 de HP, contra o único tipo de unidade que fura a passiva dele.</t>
  </si>
  <si>
    <t xml:space="preserve">Perseu</t>
  </si>
  <si>
    <t xml:space="preserve">O Espelho</t>
  </si>
  <si>
    <t xml:space="preserve">Medusa · Anúbis · Vidente Corrompido (controle triplo)</t>
  </si>
  <si>
    <t xml:space="preserve">Vença em 10 turnos sem que nenhum aliado seja atordoado, selado ou petrificado uma única vez.</t>
  </si>
  <si>
    <t xml:space="preserve">Orfeu</t>
  </si>
  <si>
    <t xml:space="preserve">A Canção Desce</t>
  </si>
  <si>
    <t xml:space="preserve">Fenrir · Kali · Babi (três executores)</t>
  </si>
  <si>
    <t xml:space="preserve">A partir do turno 3, tem de haver sempre pelo menos um inimigo Adormecido no fim do seu turno. Um turno sem ninguém dormindo anula a Provação.</t>
  </si>
  <si>
    <t xml:space="preserve">Medusa</t>
  </si>
  <si>
    <t xml:space="preserve">Três Marcas</t>
  </si>
  <si>
    <t xml:space="preserve">Perseu · Baldur · Ísis (Perseu é imune a Petrificar e reflete)</t>
  </si>
  <si>
    <t xml:space="preserve">Os três inimigos têm de estar Petrificados ao mesmo tempo em algum momento. Perseu é imune e devolve a petrificação a quem tentar — ele tem de cair antes.</t>
  </si>
  <si>
    <t xml:space="preserve">Cap. 4</t>
  </si>
  <si>
    <t xml:space="preserve">Cérberus</t>
  </si>
  <si>
    <t xml:space="preserve">Ninguém Passa</t>
  </si>
  <si>
    <t xml:space="preserve">Fenrir · Aquiles · Kali</t>
  </si>
  <si>
    <t xml:space="preserve">Nenhum aliado além de Cérberus pode sofrer dano em toda a partida. Fenrir e Kali são imunes a Provocar quando escalados — você tem de interceptar de outro jeito.</t>
  </si>
  <si>
    <t xml:space="preserve">Erínias</t>
  </si>
  <si>
    <t xml:space="preserve">Vingança Cobrada</t>
  </si>
  <si>
    <t xml:space="preserve">Thor · Heimdall · Bastet</t>
  </si>
  <si>
    <t xml:space="preserve">Você começa com um aliado caído. Vença com Erínias como única sobrevivente — se o terceiro aliado estiver vivo no fim, a Provação falha.</t>
  </si>
  <si>
    <t xml:space="preserve">Kraken</t>
  </si>
  <si>
    <t xml:space="preserve">O Abismo Reclama</t>
  </si>
  <si>
    <t xml:space="preserve">Silfo Uivante · Náiade da Correnteza · Aparição Sussurrante</t>
  </si>
  <si>
    <t xml:space="preserve">Vença em 7 turnos, e a Fúria do Abismo tem de ser o golpe final de pelo menos dois inimigos.</t>
  </si>
  <si>
    <t xml:space="preserve">Odin</t>
  </si>
  <si>
    <t xml:space="preserve">O Preço do Olho</t>
  </si>
  <si>
    <t xml:space="preserve">Shiva · Vishnu · Brahma</t>
  </si>
  <si>
    <t xml:space="preserve">Odin tem de terminar a partida com 40 de HP ou menos — a Sabedoria do Enforcado precisa ser usada no mínimo 3 vezes. Curar Odin anula a Provação.</t>
  </si>
  <si>
    <t xml:space="preserve">Possuir 2 deuses Nórdicos</t>
  </si>
  <si>
    <t xml:space="preserve">Thor</t>
  </si>
  <si>
    <t xml:space="preserve">O Trovão de Asgard</t>
  </si>
  <si>
    <t xml:space="preserve">Kagutsuchi · Jörmungandr · Ah Puch (DoT que ignora redução)</t>
  </si>
  <si>
    <t xml:space="preserve">Vença sem perder um aliado. A passiva de Thor não protege contra dano puro, e os três inimigos só causam dano puro — a proteção tem de vir de posicionamento e abate rápido.</t>
  </si>
  <si>
    <t xml:space="preserve">Loki</t>
  </si>
  <si>
    <t xml:space="preserve">Trama Completa</t>
  </si>
  <si>
    <t xml:space="preserve">Atena · Hera · Freyja (time inteiro de buffs)</t>
  </si>
  <si>
    <t xml:space="preserve">A Trama do Caos tem de roubar no mínimo 6 buffs de uma só vez. O time inimigo aplica buffs todo turno; você tem de escolher o turno exato e sobreviver até lá sem gastar o Milagre.</t>
  </si>
  <si>
    <t xml:space="preserve">Cap. 11</t>
  </si>
  <si>
    <t xml:space="preserve">Fenrir</t>
  </si>
  <si>
    <t xml:space="preserve">Fauces do Fim</t>
  </si>
  <si>
    <t xml:space="preserve">Chang'e · Vishnu · Oxalá (os três dão imunidade a morte)</t>
  </si>
  <si>
    <t xml:space="preserve">Todos os três inimigos têm de cair por execução das Fauces do Fim. Enquanto Chang'e, Vishnu ou Oxalá estiverem ativos, ninguém cai abaixo de 1 de HP — a ordem de abate é o enigma.</t>
  </si>
  <si>
    <t xml:space="preserve">Hel</t>
  </si>
  <si>
    <t xml:space="preserve">Metade de Cada</t>
  </si>
  <si>
    <t xml:space="preserve">Bennu · Osíris · Ísis (três fontes de revive)</t>
  </si>
  <si>
    <t xml:space="preserve">Vença sem que nenhum inimigo seja revivido. A Marca da Morte tem de estar em cada um no turno em que ele cai.</t>
  </si>
  <si>
    <t xml:space="preserve">Heimdall</t>
  </si>
  <si>
    <t xml:space="preserve">A Vigília Não Dorme</t>
  </si>
  <si>
    <t xml:space="preserve">Exu · Hermes · Saci (os três roubam orbe)</t>
  </si>
  <si>
    <t xml:space="preserve">Vença em 12 turnos sem perder um único orbe para o inimigo. A passiva bloqueia roubo — mas se Heimdall cair, a proteção cai com ele, e os três vão focá-lo.</t>
  </si>
  <si>
    <t xml:space="preserve">Freyja</t>
  </si>
  <si>
    <t xml:space="preserve">O Salão dos Caídos</t>
  </si>
  <si>
    <t xml:space="preserve">Ammit · Cérberus · Yan Wong (os três bloqueiam revive)</t>
  </si>
  <si>
    <t xml:space="preserve">Um aliado tem de cair e voltar pelo Salão dos Caídos, e você tem de vencer com os três vivos. Cérberus impede revive enquanto vive; Ammit impede permanentemente quem ela mata.</t>
  </si>
  <si>
    <t xml:space="preserve">Baldur</t>
  </si>
  <si>
    <t xml:space="preserve">O Visco</t>
  </si>
  <si>
    <t xml:space="preserve">Ogum · Cernunnos · Guan Yu (os três são Verdejante)</t>
  </si>
  <si>
    <t xml:space="preserve">Vença contra a única fraqueza de Baldur. A passiva não reduz dano Verdejante, e os três inimigos são exatamente isso.</t>
  </si>
  <si>
    <t xml:space="preserve">Bragi</t>
  </si>
  <si>
    <t xml:space="preserve">A Saga</t>
  </si>
  <si>
    <t xml:space="preserve">Vidente Corrompido · Aparição Sussurrante · Golem Rúnico</t>
  </si>
  <si>
    <t xml:space="preserve">Vença em 9 turnos. Bragi não pode usar o Básico em nenhum turno — só Saga Heroica e a Canção de Valhalla. O dano tem de sair dos aliados que ele buffa.</t>
  </si>
  <si>
    <t xml:space="preserve">Mimir</t>
  </si>
  <si>
    <t xml:space="preserve">A Cabeça Falante</t>
  </si>
  <si>
    <t xml:space="preserve">Thor · Tyr · Heimdall (três Guardiões)</t>
  </si>
  <si>
    <t xml:space="preserve">Mimir tem de estar morto quando o último inimigo cair, e o time tem de vencer com o bônus da passiva dele. Reviver Mimir anula a Provação.</t>
  </si>
  <si>
    <t xml:space="preserve">Possuir Odin</t>
  </si>
  <si>
    <t xml:space="preserve">Ymir</t>
  </si>
  <si>
    <t xml:space="preserve">Carne Primordial</t>
  </si>
  <si>
    <t xml:space="preserve">Kagutsuchi · Elemental de Chama · Mula sem Cabeça</t>
  </si>
  <si>
    <t xml:space="preserve">Ymir tem de cair e a cura da passiva dele tem de ser o que mantém o time vivo — vença com os outros dois aliados abaixo de 30 de HP.</t>
  </si>
  <si>
    <t xml:space="preserve">Jörmungandr</t>
  </si>
  <si>
    <t xml:space="preserve">O Anel se Fecha</t>
  </si>
  <si>
    <t xml:space="preserve">Zeus · Raijin · Hórus (três Tempestade)</t>
  </si>
  <si>
    <t xml:space="preserve">Os três inimigos têm de morrer de Veneno, não de golpe direto. Um abate por dano de habilidade anula a Provação.</t>
  </si>
  <si>
    <t xml:space="preserve">Rá</t>
  </si>
  <si>
    <t xml:space="preserve">Seis Discos</t>
  </si>
  <si>
    <t xml:space="preserve">Hou Yi · Tsukuyomi · Ah Puch (Hou Yi remove o Dia e bate dobrado em Aurora)</t>
  </si>
  <si>
    <t xml:space="preserve">O Olho de Rá tem de ser disparado com 6 Discos Solares acumulados. Hou Yi vai tentar te matar antes — você tem no mínimo 6 turnos de sobrevivência a cumprir.</t>
  </si>
  <si>
    <t xml:space="preserve">Osíris</t>
  </si>
  <si>
    <t xml:space="preserve">O Tribunal</t>
  </si>
  <si>
    <t xml:space="preserve">Ammit · Anúbis · Iansã (bloqueio total de revive)</t>
  </si>
  <si>
    <t xml:space="preserve">Dois aliados têm de cair e voltar pelo Tribunal do Duat, e você tem de vencer com os três vivos — contra o time que existe justamente para impedir isso.</t>
  </si>
  <si>
    <t xml:space="preserve">Cap. 9</t>
  </si>
  <si>
    <t xml:space="preserve">Ísis</t>
  </si>
  <si>
    <t xml:space="preserve">O Nome Secreto</t>
  </si>
  <si>
    <t xml:space="preserve">Cérberus · Hel · Yan Wong</t>
  </si>
  <si>
    <t xml:space="preserve">Os três aliados têm de estar caídos ao mesmo tempo, e a Ressurreição de Osíris tem de trazer todos de volta em um único uso — depois vença. Cérberus bloqueia revive enquanto vive.</t>
  </si>
  <si>
    <t xml:space="preserve">Possuir 15 deuses</t>
  </si>
  <si>
    <t xml:space="preserve">Hórus</t>
  </si>
  <si>
    <t xml:space="preserve">O Olho Vê</t>
  </si>
  <si>
    <t xml:space="preserve">Loki · Saci · Boto (os três ficam Inalvejáveis)</t>
  </si>
  <si>
    <t xml:space="preserve">Todos os três inimigos têm de cair pelo Mergulho do Falcão com o Olho aplicado (dano puro dobrado). O Básico de Hórus ignora Inalvejável — é a única via de aplicar o Olho.</t>
  </si>
  <si>
    <t xml:space="preserve">Anúbis</t>
  </si>
  <si>
    <t xml:space="preserve">A Pesagem</t>
  </si>
  <si>
    <t xml:space="preserve">Ganesha · Nefertem · Izanagi (os três limpam debuff)</t>
  </si>
  <si>
    <t xml:space="preserve">Os três inimigos têm de chegar a 4 Ataduras e ficar Selados ao mesmo tempo. O time inimigo remove debuff a cada turno — você tem de aplicar mais rápido do que eles limpam.</t>
  </si>
  <si>
    <t xml:space="preserve">Cap. 5</t>
  </si>
  <si>
    <t xml:space="preserve">Bastet</t>
  </si>
  <si>
    <t xml:space="preserve">Sete Vidas</t>
  </si>
  <si>
    <t xml:space="preserve">Aquiles · Durga · Fenrir (explosão de alvo único)</t>
  </si>
  <si>
    <t xml:space="preserve">Nenhum aliado além de Bastet pode sofrer dano de alvo único em toda a partida. Vigília da Gata tem recarga 2 e os inimigos atacam três vezes por turno.</t>
  </si>
  <si>
    <t xml:space="preserve">Ammit</t>
  </si>
  <si>
    <t xml:space="preserve">Devorar a Alma</t>
  </si>
  <si>
    <t xml:space="preserve">Baldur · Vishnu · Oxalá (imunidade a dano e a morte)</t>
  </si>
  <si>
    <t xml:space="preserve">Os três têm de cair pela execução do Devorar a Alma. Contra três fontes de imunidade, você tem de sincronizar os selos e as janelas.</t>
  </si>
  <si>
    <t xml:space="preserve">Bennu</t>
  </si>
  <si>
    <t xml:space="preserve">Das Cinzas</t>
  </si>
  <si>
    <t xml:space="preserve">Ceifador Errante · Ghoul Faminto · Servo de Cinzas</t>
  </si>
  <si>
    <t xml:space="preserve">Bennu tem de morrer e renascer pela passiva, e vencer depois disso. Terminar a partida sem Bennu ter caído anula a Provação.</t>
  </si>
  <si>
    <t xml:space="preserve">Khnum</t>
  </si>
  <si>
    <t xml:space="preserve">O Torno</t>
  </si>
  <si>
    <t xml:space="preserve">Iansã · Thor · Heimdall (Iansã destrói invocações)</t>
  </si>
  <si>
    <t xml:space="preserve">O Shabti tem de absorver no mínimo 60 de dano acumulado. Iansã destrói invocações com o Milagre — você tem de moldar de novo e proteger.</t>
  </si>
  <si>
    <t xml:space="preserve">Khonshu</t>
  </si>
  <si>
    <t xml:space="preserve">A Passagem do Tempo</t>
  </si>
  <si>
    <t xml:space="preserve">Huang Di · Itzamná · Ganesha (os três reduzem recarga)</t>
  </si>
  <si>
    <t xml:space="preserve">Vença sem que nenhum inimigo consiga usar o Milagre. O time inimigo inteiro reduz recarga todo turno; você só tem a Passagem do Tempo, recarga 2.</t>
  </si>
  <si>
    <t xml:space="preserve">Babi</t>
  </si>
  <si>
    <t xml:space="preserve">O Rugido</t>
  </si>
  <si>
    <t xml:space="preserve">Guan Yu · Durga · Mula sem Cabeça (os três são imunes a Medo)</t>
  </si>
  <si>
    <t xml:space="preserve">Vença contra três unidades imunes ao seu controle principal. O Frenesi Sanguinário e a passiva de Medo ficam inúteis — o teste é achar dano sem eles.</t>
  </si>
  <si>
    <t xml:space="preserve">Nefertem</t>
  </si>
  <si>
    <t xml:space="preserve">O Perfume</t>
  </si>
  <si>
    <t xml:space="preserve">Medusa · Kagutsuchi · Ah Puch</t>
  </si>
  <si>
    <t xml:space="preserve">Vença em 10 turnos sem que nenhum aliado termine um turno com qualquer debuff ativo. Perfume de Lótus tem recarga 1 — mas há três fontes de debuff.</t>
  </si>
  <si>
    <t xml:space="preserve">Mnevis</t>
  </si>
  <si>
    <t xml:space="preserve">A Montaria do Sol</t>
  </si>
  <si>
    <t xml:space="preserve">Hou Yi · Perseu · Hórus (os três caçam alvo único)</t>
  </si>
  <si>
    <t xml:space="preserve">Rá tem de sobreviver com HP cheio até o fim. Qualquer dano que chegue nele anula a Provação — a passiva de intercepção só cobre o primeiro ataque de cada turno.</t>
  </si>
  <si>
    <t xml:space="preserve">Possuir Rá</t>
  </si>
  <si>
    <t xml:space="preserve">Amaterasu</t>
  </si>
  <si>
    <t xml:space="preserve">O Sol Não Se Põe</t>
  </si>
  <si>
    <t xml:space="preserve">Hou Yi · Tsukuyomi · Ah Puch (Hou Yi remove o Dia; Tsukuyomi ativa a Noite)</t>
  </si>
  <si>
    <t xml:space="preserve">O DIA tem de estar ativo em todos os turnos a partir do turno 2. Um único turno de Noite ou de campo neutro anula a Provação.</t>
  </si>
  <si>
    <t xml:space="preserve">Susanoo</t>
  </si>
  <si>
    <t xml:space="preserve">Oito Cabeças</t>
  </si>
  <si>
    <t xml:space="preserve">Baldur · Atena · Nüwa (escudo e imunidade em camadas)</t>
  </si>
  <si>
    <t xml:space="preserve">A Fúria do Tufão tem de ser disparada com 20 de Combo (o teto) e derrubar dois inimigos no mesmo golpe. Os escudos inimigos crescem todo turno.</t>
  </si>
  <si>
    <t xml:space="preserve">Cap. 10</t>
  </si>
  <si>
    <t xml:space="preserve">Tsukuyomi</t>
  </si>
  <si>
    <t xml:space="preserve">A Lua Julga</t>
  </si>
  <si>
    <t xml:space="preserve">Amaterasu · Rá · Lugh (os três são Aurora e vivem do Dia)</t>
  </si>
  <si>
    <t xml:space="preserve">Vença com a NOITE ativa em todos os turnos a partir do turno 2, contra o time que a desfaz.</t>
  </si>
  <si>
    <t xml:space="preserve">Izanami</t>
  </si>
  <si>
    <t xml:space="preserve">Mil por Dia</t>
  </si>
  <si>
    <t xml:space="preserve">Izanagi · Nefertem · Ganesha (os três limpam contágio)</t>
  </si>
  <si>
    <t xml:space="preserve">Os três inimigos têm de morrer pela execução do Portal de Yomotsu, amaldiçoados. Izanagi imuniza o time inteiro contra Maldição — ele tem de cair primeiro, e ele é o mais protegido.</t>
  </si>
  <si>
    <t xml:space="preserve">Izanagi</t>
  </si>
  <si>
    <t xml:space="preserve">Misogi</t>
  </si>
  <si>
    <t xml:space="preserve">Izanami · Ah Puch · Kagutsuchi (contágio, Podridão e Queimadura)</t>
  </si>
  <si>
    <t xml:space="preserve">Vença em 12 turnos sem que nenhum aliado morra de DoT. O dano direto do time inimigo é baixo — a partida inteira é gestão de limpeza.</t>
  </si>
  <si>
    <t xml:space="preserve">Possuir Izanami</t>
  </si>
  <si>
    <t xml:space="preserve">Raijin</t>
  </si>
  <si>
    <t xml:space="preserve">O Ritmo</t>
  </si>
  <si>
    <t xml:space="preserve">Ao Kuang · Chaac · Poseidon (os três aplicam Encharcado em si mesmos)</t>
  </si>
  <si>
    <t xml:space="preserve">Vença em 8 turnos gerando no mínimo 15 de Combo. O Raio em Cadeia tem de acertar os três inimigos em pelo menos 3 turnos distintos.</t>
  </si>
  <si>
    <t xml:space="preserve">Inari</t>
  </si>
  <si>
    <t xml:space="preserve">As Mil Portas</t>
  </si>
  <si>
    <t xml:space="preserve">Exu · Hermes · Mimir (os três atacam seu recurso)</t>
  </si>
  <si>
    <t xml:space="preserve">Termine a partida com 8 ou mais orbes guardados. O time inimigo rouba e remove orbe todo turno — Inari tem de gerar mais rápido do que eles drenam.</t>
  </si>
  <si>
    <t xml:space="preserve">Kagutsuchi</t>
  </si>
  <si>
    <t xml:space="preserve">A Chama que Consome</t>
  </si>
  <si>
    <t xml:space="preserve">Nezha · Mula sem Cabeça · Hanuman (os três são imunes a Queimadura)</t>
  </si>
  <si>
    <t xml:space="preserve">Vença contra três unidades imunes ao seu único eixo de dano. A passiva ainda tira 3 de HP seu por turno — o relógio corre contra você.</t>
  </si>
  <si>
    <t xml:space="preserve">Kitsune</t>
  </si>
  <si>
    <t xml:space="preserve">Nove Caudas</t>
  </si>
  <si>
    <t xml:space="preserve">Ogum · Iansã · Susanoo (os três removem buff e isca)</t>
  </si>
  <si>
    <t xml:space="preserve">Nove Caudas tem de ser disparado com as 9 Caudas. Isso exige sobreviver 18 turnos contra um time que destrói suas iscas — e o empate técnico é no turno 40, então há margem, mas pouca.</t>
  </si>
  <si>
    <t xml:space="preserve">Possuir Inari</t>
  </si>
  <si>
    <t xml:space="preserve">Tanuki</t>
  </si>
  <si>
    <t xml:space="preserve">A Sorte Não Existe</t>
  </si>
  <si>
    <t xml:space="preserve">Vidente Corrompido · Silfo Uivante · Quimera</t>
  </si>
  <si>
    <t xml:space="preserve">Vença sem repetir a mesma escolha da Metamorfose duas vezes consecutivas, e sem usar o Golpe da Sorte.</t>
  </si>
  <si>
    <t xml:space="preserve">Oni</t>
  </si>
  <si>
    <t xml:space="preserve">Pele Grossa</t>
  </si>
  <si>
    <t xml:space="preserve">Ogum · Aquiles · Tyr (os três furam redução de dano)</t>
  </si>
  <si>
    <t xml:space="preserve">Vença sem perder um aliado. A passiva de Oni não serve contra nenhum dos três — o Provocar tem de ser usado como recurso de tempo, não de proteção.</t>
  </si>
  <si>
    <t xml:space="preserve">Shuten Dōji</t>
  </si>
  <si>
    <t xml:space="preserve">O Banquete de Ōe</t>
  </si>
  <si>
    <t xml:space="preserve">Krishna · Brahma · Oxum (três baterias de orbe)</t>
  </si>
  <si>
    <t xml:space="preserve">Roube no mínimo 8 orbes com o Torpor em 12 turnos, e vença. Se o inimigo usar dois Milagres, a Provação falha.</t>
  </si>
  <si>
    <t xml:space="preserve">Yamato Takeru</t>
  </si>
  <si>
    <t xml:space="preserve">Ceifa-Ervas</t>
  </si>
  <si>
    <t xml:space="preserve">Atena · Hera · Bastet (buff e escudo em camadas)</t>
  </si>
  <si>
    <t xml:space="preserve">O golpe final tem de ser o Corte Ceifa-Ervas com 20 de Combo, e ele tem de remover no mínimo 3 buffs do alvo no processo.</t>
  </si>
  <si>
    <t xml:space="preserve">Sun Wukong</t>
  </si>
  <si>
    <t xml:space="preserve">Setenta e Duas</t>
  </si>
  <si>
    <t xml:space="preserve">Hades · Fenrir · Morrigan (os três executam)</t>
  </si>
  <si>
    <t xml:space="preserve">Vença sem que Wukong use a passiva de sobrevivência (não pode ser reduzido a 1 de HP nenhuma vez). Os três inimigos existem para executar — e a passiva contra execução é a sua rede.</t>
  </si>
  <si>
    <t xml:space="preserve">Nüwa</t>
  </si>
  <si>
    <t xml:space="preserve">Remendar o Céu</t>
  </si>
  <si>
    <t xml:space="preserve">Ogum · Shiva · Aquiles (os três atravessam escudo)</t>
  </si>
  <si>
    <t xml:space="preserve">Vença sem perder um aliado. Cada uso das Pedras das Cinco Cores tem de escolher um par diferente do anterior — você não pode repetir a mesma combinação duas vezes.</t>
  </si>
  <si>
    <t xml:space="preserve">Possuir 18 deuses</t>
  </si>
  <si>
    <t xml:space="preserve">Huang Di</t>
  </si>
  <si>
    <t xml:space="preserve">A Ordem Imperial</t>
  </si>
  <si>
    <t xml:space="preserve">Khonshu · Fujin · Oni (os três aumentam suas recargas)</t>
  </si>
  <si>
    <t xml:space="preserve">Vença em 10 turnos. Nenhuma habilidade aliada pode ficar mais de 1 turno em recarga em nenhum momento — o time inimigo existe para atrasar você.</t>
  </si>
  <si>
    <t xml:space="preserve">Ao Kuang</t>
  </si>
  <si>
    <t xml:space="preserve">A Chuva Cai</t>
  </si>
  <si>
    <t xml:space="preserve">Boitatá · Kagutsuchi · Hércules (três de Chama)</t>
  </si>
  <si>
    <t xml:space="preserve">Os três inimigos têm de estar Encharcados e atordoados ao mesmo tempo em algum momento, e você tem de vencer nos 2 turnos seguintes.</t>
  </si>
  <si>
    <t xml:space="preserve">Guan Yu</t>
  </si>
  <si>
    <t xml:space="preserve">O Juramento do Pêssego</t>
  </si>
  <si>
    <t xml:space="preserve">Babi · Morrigan · Mula sem Cabeça (três fontes de Medo)</t>
  </si>
  <si>
    <t xml:space="preserve">Vença com os três aliados vivos. A imunidade a Medo da passiva só existe com o time completo — perder um aliado quebra a imunidade e provavelmente a partida.</t>
  </si>
  <si>
    <t xml:space="preserve">Hou Yi</t>
  </si>
  <si>
    <t xml:space="preserve">Abater o Sol</t>
  </si>
  <si>
    <t xml:space="preserve">Amaterasu · Rá · Itzamná (três Aurora que mantêm o Dia)</t>
  </si>
  <si>
    <t xml:space="preserve">O DIA tem de ser removido no mínimo 3 vezes, e você tem de vencer sem usar o Milagre. Amaterasu reativa o Dia com recarga 2.</t>
  </si>
  <si>
    <t xml:space="preserve">Yan Wong</t>
  </si>
  <si>
    <t xml:space="preserve">O Livro</t>
  </si>
  <si>
    <t xml:space="preserve">Ganesha · Izanagi · Vishnu (os três removem debuff)</t>
  </si>
  <si>
    <t xml:space="preserve">Os três inimigos têm de morrer pela contagem do Livro da Vida e Morte, nunca por dano. O time inimigo limpa a inscrição — você tem de inscrever mais rápido do que eles removem.</t>
  </si>
  <si>
    <t xml:space="preserve">Chang'e</t>
  </si>
  <si>
    <t xml:space="preserve">Saudade</t>
  </si>
  <si>
    <t xml:space="preserve">Tsukuyomi · Hel · Morrigan (três de Noite e execução)</t>
  </si>
  <si>
    <t xml:space="preserve">Vença sem que nenhum aliado caia. Hou Yi tem de estar no seu time — a sinergia da passiva é o que torna o Elixir sustentável.</t>
  </si>
  <si>
    <t xml:space="preserve">Possuir Hou Yi</t>
  </si>
  <si>
    <t xml:space="preserve">Shiva</t>
  </si>
  <si>
    <t xml:space="preserve">O Terceiro Olho</t>
  </si>
  <si>
    <t xml:space="preserve">Vishnu · Oxalá · Chang'e (imunidade a morte em camadas)</t>
  </si>
  <si>
    <t xml:space="preserve">Vença SEM usar o Terceiro Olho uma única vez. A Provação do deus mais destrutivo do jogo é provar que você não precisa dele — Tandava acumulando é o caminho, e leva tempo.</t>
  </si>
  <si>
    <t xml:space="preserve">Vishnu</t>
  </si>
  <si>
    <t xml:space="preserve">Preservar</t>
  </si>
  <si>
    <t xml:space="preserve">Shiva · Ogum · Ammit</t>
  </si>
  <si>
    <t xml:space="preserve">Vença com os três aliados em HP cheio (100) no golpe final. Contra três fontes de dano que ignoram defesa, isso exige usar a Encarnação e a cura do Milagre em sincronia perfeita.</t>
  </si>
  <si>
    <t xml:space="preserve">Krishna</t>
  </si>
  <si>
    <t xml:space="preserve">A Ação Perfeita</t>
  </si>
  <si>
    <t xml:space="preserve">Bastet · Heimdall · Guan Yu (os três contra-atacam)</t>
  </si>
  <si>
    <t xml:space="preserve">Todo golpe que derruba um inimigo tem de ser feito sob Ação Perfeita. Um abate sem o buff ativo anula a Provação — e a recarga é 2.</t>
  </si>
  <si>
    <t xml:space="preserve">Kali</t>
  </si>
  <si>
    <t xml:space="preserve">A Dança</t>
  </si>
  <si>
    <t xml:space="preserve">Baldur · Atena · Nüwa (escudo em camadas)</t>
  </si>
  <si>
    <t xml:space="preserve">Vença em 9 turnos. Kali não pode ser curada em nenhum momento — nem pelo Frenesi, nem por aliado. A Guirlanda de Caveiras é a única cura permitida.</t>
  </si>
  <si>
    <t xml:space="preserve">Brahma</t>
  </si>
  <si>
    <t xml:space="preserve">Quatro Faces</t>
  </si>
  <si>
    <t xml:space="preserve">Ogum · Iansã · Susanoo (os três removem buff)</t>
  </si>
  <si>
    <t xml:space="preserve">O time tem de terminar a partida com +20 de dano acumulado pelas Quatro Faces (5 usos). O time inimigo remove buff todo turno — mas o bônus das Quatro Faces é permanente, e essa é a lição.</t>
  </si>
  <si>
    <t xml:space="preserve">Durga</t>
  </si>
  <si>
    <t xml:space="preserve">Mahishasura</t>
  </si>
  <si>
    <t xml:space="preserve">Thor · Ymir · Golem Rúnico (HP alto)</t>
  </si>
  <si>
    <t xml:space="preserve">Todos os três inimigos têm de cair pelo Fim de Mahishasura acima de 70 de HP (dano de 48). Deixar um cair abaixo de 70 anula a Provação.</t>
  </si>
  <si>
    <t xml:space="preserve">Hanuman</t>
  </si>
  <si>
    <t xml:space="preserve">Devoção a Rama</t>
  </si>
  <si>
    <t xml:space="preserve">Hórus · Perseu · Aquiles (caçadores de alvo único)</t>
  </si>
  <si>
    <t xml:space="preserve">O Senhor adotado tem de sobreviver a partida inteira sem sofrer um único ponto de dano. Sun Wukong tem de estar no seu time.</t>
  </si>
  <si>
    <t xml:space="preserve">Possuir Sun Wukong</t>
  </si>
  <si>
    <t xml:space="preserve">Saci</t>
  </si>
  <si>
    <t xml:space="preserve">A Travessura</t>
  </si>
  <si>
    <t xml:space="preserve">Hórus · Hou Yi · Boitatá (os três ignoram Inalvejável ou furam evasão)</t>
  </si>
  <si>
    <t xml:space="preserve">Vença em 9 turnos roubando no mínimo 5 orbes e 3 buffs. Os três inimigos furam a passiva do Gorro Vermelho — ela não vai te salvar.</t>
  </si>
  <si>
    <t xml:space="preserve">Boitatá</t>
  </si>
  <si>
    <t xml:space="preserve">Guardiã dos Campos</t>
  </si>
  <si>
    <t xml:space="preserve">Kagutsuchi · Mula sem Cabeça · Elemental de Chama (três de Chama)</t>
  </si>
  <si>
    <t xml:space="preserve">Vença sem que nenhum aliado além de Boitatá sofra dano de Queimadura. A passiva converte fogo em cura — o teste é atrair o fogo para ela.</t>
  </si>
  <si>
    <t xml:space="preserve">Iara</t>
  </si>
  <si>
    <t xml:space="preserve">O Canto</t>
  </si>
  <si>
    <t xml:space="preserve">Ogum · Tyr · Fenrir (os três resistem a controle ou o ignoram)</t>
  </si>
  <si>
    <t xml:space="preserve">Os três inimigos têm de morrer Encharcados, e no mínimo dois pela execução do Afogamento. Fenrir é imune a Provocar; Tyr fura o silêncio com o Básico.</t>
  </si>
  <si>
    <t xml:space="preserve">Curupira</t>
  </si>
  <si>
    <t xml:space="preserve">Pés Virados</t>
  </si>
  <si>
    <t xml:space="preserve">Ares · Kali · Aquiles (três Atacantes de alvo único)</t>
  </si>
  <si>
    <t xml:space="preserve">Dois dos três inimigos têm de ser derrotados por aliados deles, sob o efeito de Pés Virados.</t>
  </si>
  <si>
    <t xml:space="preserve">Mula sem Cabeça</t>
  </si>
  <si>
    <t xml:space="preserve">Quinta-feira</t>
  </si>
  <si>
    <t xml:space="preserve">Vidente Corrompido · Aparição Sussurrante · Anúbis (controle triplo)</t>
  </si>
  <si>
    <t xml:space="preserve">Vença com a Mula abaixo de 25 de HP no golpe final. Ela só é imune a controle durante o Galope — fora dele, os três vão travá-la.</t>
  </si>
  <si>
    <t xml:space="preserve">Boto</t>
  </si>
  <si>
    <t xml:space="preserve">Festa de São João</t>
  </si>
  <si>
    <t xml:space="preserve">Rá · Brahma · Shiva (três Milagres devastadores)</t>
  </si>
  <si>
    <t xml:space="preserve">Vença sem que nenhum inimigo use um Milagre em 12 turnos. Festa de São João tem recarga 4 e cobre 2 turnos — a conta não fecha sozinha, você tem de somar Dominação.</t>
  </si>
  <si>
    <t xml:space="preserve">Piranha</t>
  </si>
  <si>
    <t xml:space="preserve">Águas Vermelhas</t>
  </si>
  <si>
    <t xml:space="preserve">Baldur · Vishnu · Oxalá (redução e imunidade)</t>
  </si>
  <si>
    <t xml:space="preserve">Os três inimigos têm de morrer de Sangramento, nunca de golpe direto. Sangramento é dano puro — é o único caminho que atravessa aquele time, e essa é a lição.</t>
  </si>
  <si>
    <t xml:space="preserve">Exu</t>
  </si>
  <si>
    <t xml:space="preserve">A Encruzilhada</t>
  </si>
  <si>
    <t xml:space="preserve">Heimdall · Mimir · Hermes (Heimdall bloqueia roubo e remoção)</t>
  </si>
  <si>
    <t xml:space="preserve">Vença em 10 turnos tendo usado no mínimo 6 vezes o Fechar Caminhos, e sem que nenhum inimigo use o Milagre. Heimdall anula seu roubo enquanto vive.</t>
  </si>
  <si>
    <t xml:space="preserve">Xangô</t>
  </si>
  <si>
    <t xml:space="preserve">A Balança</t>
  </si>
  <si>
    <t xml:space="preserve">Zeus · Poseidon · Kukulkán (três Milagres em área)</t>
  </si>
  <si>
    <t xml:space="preserve">A Balança da Justiça tem de devolver o máximo (50) de uma só vez, e esse golpe tem de derrubar um inimigo. Você tem de deixar o time apanhar 50 de propósito, sem perder ninguém.</t>
  </si>
  <si>
    <t xml:space="preserve">Oxalá</t>
  </si>
  <si>
    <t xml:space="preserve">O Mais Velho</t>
  </si>
  <si>
    <t xml:space="preserve">Kali · Durga · Ares (três Atacantes puros)</t>
  </si>
  <si>
    <t xml:space="preserve">Vença sem perder um aliado e sem causar dano com o Opaxorô em nenhum turno. A Paz de Oxalá e o Manto Branco são as únicas ferramentas — o dano tem de vir dos aliados.</t>
  </si>
  <si>
    <t xml:space="preserve">Oxum</t>
  </si>
  <si>
    <t xml:space="preserve">Águas Doces</t>
  </si>
  <si>
    <t xml:space="preserve">Perseu · Fenrir · Morrigan (os três bloqueiam cura)</t>
  </si>
  <si>
    <t xml:space="preserve">Cure no mínimo 120 de HP acumulado e vença. Os três inimigos aplicam 'não pode ser curado' — você tem de limpar ou escolher outro alvo.</t>
  </si>
  <si>
    <t xml:space="preserve">Iansã</t>
  </si>
  <si>
    <t xml:space="preserve">O Corisco</t>
  </si>
  <si>
    <t xml:space="preserve">Khnum · Cernunnos · Sun Wukong (os três invocam)</t>
  </si>
  <si>
    <t xml:space="preserve">Vença destruindo todas as invocações inimigas antes de derrubar qualquer deus. Um deus caindo antes da última invocação anula a Provação.</t>
  </si>
  <si>
    <t xml:space="preserve">Dagda</t>
  </si>
  <si>
    <t xml:space="preserve">O Caldeirão</t>
  </si>
  <si>
    <t xml:space="preserve">Perseu · Morrigan · Fenrir (os três bloqueiam cura)</t>
  </si>
  <si>
    <t xml:space="preserve">O Caldeirão tem de estar ativo em todos os turnos a partir do turno 3, e você tem de vencer sem perder um aliado. Recarga 3, duração 3 — a conta é exata e não perdoa um turno perdido.</t>
  </si>
  <si>
    <t xml:space="preserve">Cap. 12</t>
  </si>
  <si>
    <t xml:space="preserve">Lugh</t>
  </si>
  <si>
    <t xml:space="preserve">Samildánach</t>
  </si>
  <si>
    <t xml:space="preserve">Tsukuyomi · Hades · Hel (três de Noite e Umbra)</t>
  </si>
  <si>
    <t xml:space="preserve">Vença usando as três modalidades de Samildánach no mínimo 3 vezes cada, com o DIA ativo no golpe final. Tsukuyomi vai forçar a Noite todo turno.</t>
  </si>
  <si>
    <t xml:space="preserve">Morrigan</t>
  </si>
  <si>
    <t xml:space="preserve">As Três Irmãs</t>
  </si>
  <si>
    <t xml:space="preserve">Bennu · Nezha · Ísis (os três voltam da morte)</t>
  </si>
  <si>
    <t xml:space="preserve">Os três inimigos têm de morrer pela execução do Presságio de Morte, e nenhum pode voltar. Bennu e Nezha renascem pela passiva — o Presságio bloqueia cura, não revive.</t>
  </si>
  <si>
    <t xml:space="preserve">Cernunnos</t>
  </si>
  <si>
    <t xml:space="preserve">A Matilha</t>
  </si>
  <si>
    <t xml:space="preserve">Iansã · Ogum · Susanoo (Iansã destrói invocações)</t>
  </si>
  <si>
    <t xml:space="preserve">A Fera tem de morrer e renascer no mínimo 2 vezes, e estar viva no golpe final.</t>
  </si>
  <si>
    <t xml:space="preserve">Kukulkán</t>
  </si>
  <si>
    <t xml:space="preserve">Maia</t>
  </si>
  <si>
    <t xml:space="preserve">A Estrela da Manhã</t>
  </si>
  <si>
    <t xml:space="preserve">Hou Yi · Hórus · Boitatá (os três ignoram Inalvejável)</t>
  </si>
  <si>
    <t xml:space="preserve">Vença em 9 turnos. Todo mergulho do Voo da Serpente tem de acertar os três inimigos Encharcados — e você não tem nenhuma unidade Maré no time emprestado, então o Encharcado tem de vir de outro lugar.</t>
  </si>
  <si>
    <t xml:space="preserve">Ah Puch</t>
  </si>
  <si>
    <t xml:space="preserve">A Podridão</t>
  </si>
  <si>
    <t xml:space="preserve">Itzamná · Nefertem · Brigid (Itzamná restaura HP máximo)</t>
  </si>
  <si>
    <t xml:space="preserve">Cada inimigo tem de cair com no mínimo 4 acúmulos de Podridão (−40 de HP máximo). Itzamná restaura HP máximo perdido com o Milagre — ele tem de cair primeiro, e ele é o mais curado.</t>
  </si>
  <si>
    <t xml:space="preserve">Chaac</t>
  </si>
  <si>
    <t xml:space="preserve">As Quatro Chuvas</t>
  </si>
  <si>
    <t xml:space="preserve">Boitatá · Hércules · Oni (três de Chama)</t>
  </si>
  <si>
    <t xml:space="preserve">Os três inimigos têm de estar Encharcados e atordoados no mesmo turno, e cair nos 2 turnos seguintes.</t>
  </si>
  <si>
    <t xml:space="preserve">Itzamná</t>
  </si>
  <si>
    <t xml:space="preserve">A Escrita Sagrada</t>
  </si>
  <si>
    <t xml:space="preserve">Ah Puch · Khonshu · Fujin (os três atacam HP máximo e recarga)</t>
  </si>
  <si>
    <t xml:space="preserve">Vença sem que nenhum aliado termine a partida com HP máximo reduzido, e com no mínimo 4 acúmulos de Escrita Sagrada em um aliado.</t>
  </si>
  <si>
    <t xml:space="preserve">ROSTER — 100 deuses jogáveis (sem raridade de poder)</t>
  </si>
  <si>
    <t xml:space="preserve">A coluna Raridade foi removida de propósito. Se ela voltar, deve significar COMPLEXIDADE do kit (quantas peças móveis o jogador precisa gerenciar), nunca força — e não pode aparecer na tela de partida.</t>
  </si>
  <si>
    <t xml:space="preserve">Arquétipo</t>
  </si>
  <si>
    <t xml:space="preserve">Nuker de área</t>
  </si>
  <si>
    <t xml:space="preserve">Executor sombrio</t>
  </si>
  <si>
    <t xml:space="preserve">DPS em área</t>
  </si>
  <si>
    <t xml:space="preserve">Buffer/escudo</t>
  </si>
  <si>
    <t xml:space="preserve">Bruiser com roubo de vida</t>
  </si>
  <si>
    <t xml:space="preserve">DPS à distância / cura</t>
  </si>
  <si>
    <t xml:space="preserve">Charmer</t>
  </si>
  <si>
    <t xml:space="preserve">Buffer/protetora</t>
  </si>
  <si>
    <t xml:space="preserve">Curandeira</t>
  </si>
  <si>
    <t xml:space="preserve">Debuffer/confusão</t>
  </si>
  <si>
    <t xml:space="preserve">Velocidade/turnos</t>
  </si>
  <si>
    <t xml:space="preserve">Bruiser resistente</t>
  </si>
  <si>
    <t xml:space="preserve">DPS single (glass cannon)</t>
  </si>
  <si>
    <t xml:space="preserve">DPS anti-controle</t>
  </si>
  <si>
    <t xml:space="preserve">Suporte/controle suave</t>
  </si>
  <si>
    <t xml:space="preserve">CC de petrificação</t>
  </si>
  <si>
    <t xml:space="preserve">Tanque-provocador</t>
  </si>
  <si>
    <t xml:space="preserve">Punidor de debuffs</t>
  </si>
  <si>
    <t xml:space="preserve">Tanque colossal</t>
  </si>
  <si>
    <t xml:space="preserve">Estrategista</t>
  </si>
  <si>
    <t xml:space="preserve">Bruiser protetor</t>
  </si>
  <si>
    <t xml:space="preserve">Trapaceiro</t>
  </si>
  <si>
    <t xml:space="preserve">Executor</t>
  </si>
  <si>
    <t xml:space="preserve">Necromante/CC</t>
  </si>
  <si>
    <t xml:space="preserve">Protetor/vigília</t>
  </si>
  <si>
    <t xml:space="preserve">Buffer/revive</t>
  </si>
  <si>
    <t xml:space="preserve">Bruiser/duelo</t>
  </si>
  <si>
    <t xml:space="preserve">Protetor quase-invulnerável</t>
  </si>
  <si>
    <t xml:space="preserve">Buffer</t>
  </si>
  <si>
    <t xml:space="preserve">Suporte pós-morte</t>
  </si>
  <si>
    <t xml:space="preserve">Tanque de gelo</t>
  </si>
  <si>
    <t xml:space="preserve">DPS de veneno em área</t>
  </si>
  <si>
    <t xml:space="preserve">Nuker de carga</t>
  </si>
  <si>
    <t xml:space="preserve">Ressurreição/almas</t>
  </si>
  <si>
    <t xml:space="preserve">Maga (revive/cópia)</t>
  </si>
  <si>
    <t xml:space="preserve">Executor de precisão</t>
  </si>
  <si>
    <t xml:space="preserve">Julgamento/selo</t>
  </si>
  <si>
    <t xml:space="preserve">Protetora ágil</t>
  </si>
  <si>
    <t xml:space="preserve">Bruiser aquático</t>
  </si>
  <si>
    <t xml:space="preserve">Executora por status</t>
  </si>
  <si>
    <t xml:space="preserve">Curandeira fênix</t>
  </si>
  <si>
    <t xml:space="preserve">Invocador/criador</t>
  </si>
  <si>
    <t xml:space="preserve">Manipulador do tempo</t>
  </si>
  <si>
    <t xml:space="preserve">Frenético/medo</t>
  </si>
  <si>
    <t xml:space="preserve">Curandeiro/purificador</t>
  </si>
  <si>
    <t xml:space="preserve">Tanque solar</t>
  </si>
  <si>
    <t xml:space="preserve">Suporte de Dia</t>
  </si>
  <si>
    <t xml:space="preserve">Finalizador de Combo</t>
  </si>
  <si>
    <t xml:space="preserve">Controle de Noite</t>
  </si>
  <si>
    <t xml:space="preserve">Contágio/morte</t>
  </si>
  <si>
    <t xml:space="preserve">Purificador/criador</t>
  </si>
  <si>
    <t xml:space="preserve">Raio em cadeia</t>
  </si>
  <si>
    <t xml:space="preserve">Negação de iniciativa</t>
  </si>
  <si>
    <t xml:space="preserve">Bateria de orbes</t>
  </si>
  <si>
    <t xml:space="preserve">DoT de fogo</t>
  </si>
  <si>
    <t xml:space="preserve">Ilusionista</t>
  </si>
  <si>
    <t xml:space="preserve">Trapaceiro (escolha)</t>
  </si>
  <si>
    <t xml:space="preserve">Bruiser da frente</t>
  </si>
  <si>
    <t xml:space="preserve">Tanque com dreno</t>
  </si>
  <si>
    <t xml:space="preserve">Finalizador furtivo</t>
  </si>
  <si>
    <t xml:space="preserve">DPS de clones</t>
  </si>
  <si>
    <t xml:space="preserve">Buffer/criadora</t>
  </si>
  <si>
    <t xml:space="preserve">Comandante</t>
  </si>
  <si>
    <t xml:space="preserve">Habilitador de água</t>
  </si>
  <si>
    <t xml:space="preserve">DPS de arsenal</t>
  </si>
  <si>
    <t xml:space="preserve">Bruiser leal</t>
  </si>
  <si>
    <t xml:space="preserve">Sniper anti-Sol</t>
  </si>
  <si>
    <t xml:space="preserve">Contagem de morte</t>
  </si>
  <si>
    <t xml:space="preserve">Curandeira lunar</t>
  </si>
  <si>
    <t xml:space="preserve">Destruição pura</t>
  </si>
  <si>
    <t xml:space="preserve">Preservador</t>
  </si>
  <si>
    <t xml:space="preserve">Berserker</t>
  </si>
  <si>
    <t xml:space="preserve">Recarga/criação</t>
  </si>
  <si>
    <t xml:space="preserve">DPS anti-chefe</t>
  </si>
  <si>
    <t xml:space="preserve">Guarda-costas</t>
  </si>
  <si>
    <t xml:space="preserve">Removedor de obstáculos</t>
  </si>
  <si>
    <t xml:space="preserve">Trapaceiro de esquiva</t>
  </si>
  <si>
    <t xml:space="preserve">Anti-esquiva</t>
  </si>
  <si>
    <t xml:space="preserve">Sereia (puxa/silencia)</t>
  </si>
  <si>
    <t xml:space="preserve">Misdireção/guarda</t>
  </si>
  <si>
    <t xml:space="preserve">Bruxa do sono</t>
  </si>
  <si>
    <t xml:space="preserve">Investida imparável</t>
  </si>
  <si>
    <t xml:space="preserve">Sedutor evasivo</t>
  </si>
  <si>
    <t xml:space="preserve">Cardume voraz</t>
  </si>
  <si>
    <t xml:space="preserve">Abre-caminhos</t>
  </si>
  <si>
    <t xml:space="preserve">Retribuição</t>
  </si>
  <si>
    <t xml:space="preserve">Pacificador/protetor</t>
  </si>
  <si>
    <t xml:space="preserve">Caça-tanque</t>
  </si>
  <si>
    <t xml:space="preserve">Curandeira/Axé</t>
  </si>
  <si>
    <t xml:space="preserve">Anti-invocação/vento</t>
  </si>
  <si>
    <t xml:space="preserve">Sustentador</t>
  </si>
  <si>
    <t xml:space="preserve">DPS flexível</t>
  </si>
  <si>
    <t xml:space="preserve">Profetisa da morte</t>
  </si>
  <si>
    <t xml:space="preserve">Chama dupla</t>
  </si>
  <si>
    <t xml:space="preserve">Invocador da natureza</t>
  </si>
  <si>
    <t xml:space="preserve">DPS aéreo</t>
  </si>
  <si>
    <t xml:space="preserve">Decomposição</t>
  </si>
  <si>
    <t xml:space="preserve">Chuva (habilitador)</t>
  </si>
  <si>
    <t xml:space="preserve">Sábio (recarga/cura)</t>
  </si>
  <si>
    <t xml:space="preserve">KITS — ESTILO NA · fonte da verdade. Todo deus: 100 de HP.</t>
  </si>
  <si>
    <t xml:space="preserve">Números são inteiros absolutos, não porcentagens de atributo — não existem mais atributos. 'livre' = orbe de qualquer elemento. '—' no custo = grátis. Recarga em turnos. Todo efeito usado aqui está definido no Glossário; nada fora dele é válido.</t>
  </si>
  <si>
    <t xml:space="preserve">BÁSICO</t>
  </si>
  <si>
    <t xml:space="preserve">custo</t>
  </si>
  <si>
    <t xml:space="preserve">efeito</t>
  </si>
  <si>
    <t xml:space="preserve">HABILIDADE</t>
  </si>
  <si>
    <t xml:space="preserve">rec.</t>
  </si>
  <si>
    <t xml:space="preserve">MILAGRE</t>
  </si>
  <si>
    <t xml:space="preserve">PASSIVA</t>
  </si>
  <si>
    <t xml:space="preserve">Cetro do Trovão</t>
  </si>
  <si>
    <t xml:space="preserve">1 Tempestade</t>
  </si>
  <si>
    <t xml:space="preserve">15 de dano a 1 inimigo.</t>
  </si>
  <si>
    <t xml:space="preserve">Julgamento do Trovão</t>
  </si>
  <si>
    <t xml:space="preserve">2 Tempestade</t>
  </si>
  <si>
    <t xml:space="preserve">25 de dano a 1 inimigo; ele não pode usar habilidades Mágicas por 1 turno.</t>
  </si>
  <si>
    <t xml:space="preserve">Ira Celestial</t>
  </si>
  <si>
    <t xml:space="preserve">2 Tempestade + 1 livre</t>
  </si>
  <si>
    <t xml:space="preserve">20 de dano a todos os inimigos; eles causam 5 menos de dano por 2 turnos.</t>
  </si>
  <si>
    <t xml:space="preserve">Soberano</t>
  </si>
  <si>
    <t xml:space="preserve">Ao derrotar um inimigo, Zeus ganha 1 orbe de Tempestade.</t>
  </si>
  <si>
    <t xml:space="preserve">Toque Fúnebre</t>
  </si>
  <si>
    <t xml:space="preserve">1 Umbra</t>
  </si>
  <si>
    <t xml:space="preserve">Correntes do Tártaro</t>
  </si>
  <si>
    <t xml:space="preserve">2 Umbra</t>
  </si>
  <si>
    <t xml:space="preserve">1 inimigo fica Selado por 1 turno (só Básico) e sofre 10 de dano puro por turno durante 2 turnos.</t>
  </si>
  <si>
    <t xml:space="preserve">Portões do Submundo</t>
  </si>
  <si>
    <t xml:space="preserve">2 Umbra + 1 livre</t>
  </si>
  <si>
    <t xml:space="preserve">40 de dano a 1 inimigo; se ele estiver com 20 ou menos de HP, é eliminado. Rouba 1 orbe.</t>
  </si>
  <si>
    <t xml:space="preserve">Ceifador de Almas</t>
  </si>
  <si>
    <t xml:space="preserve">Quando qualquer inimigo é derrotado, Hades cura 15 e o time ganha 1 orbe de Umbra.</t>
  </si>
  <si>
    <t xml:space="preserve">Golpe do Tridente</t>
  </si>
  <si>
    <t xml:space="preserve">1 Maré</t>
  </si>
  <si>
    <t xml:space="preserve">Tridente Colossal</t>
  </si>
  <si>
    <t xml:space="preserve">2 Maré</t>
  </si>
  <si>
    <t xml:space="preserve">22 de dano a 2 inimigos; aplica Encharcado por 2 turnos.</t>
  </si>
  <si>
    <t xml:space="preserve">Maremoto</t>
  </si>
  <si>
    <t xml:space="preserve">2 Maré + 1 livre</t>
  </si>
  <si>
    <t xml:space="preserve">20 de dano a todos os inimigos; aplica Encharcado por 2 turnos.</t>
  </si>
  <si>
    <t xml:space="preserve">Regente das Marés</t>
  </si>
  <si>
    <t xml:space="preserve">Poseidon causa +5 de dano contra alvos Encharcados; aliados Maré recebem 5 de redução de dano.</t>
  </si>
  <si>
    <t xml:space="preserve">Lança de Prata</t>
  </si>
  <si>
    <t xml:space="preserve">1 Aurora</t>
  </si>
  <si>
    <t xml:space="preserve">12 de dano a 1 inimigo.</t>
  </si>
  <si>
    <t xml:space="preserve">Égide</t>
  </si>
  <si>
    <t xml:space="preserve">2 Aurora</t>
  </si>
  <si>
    <t xml:space="preserve">1 aliado ganha 25 de Defesa Destrutível por 2 turnos; enquanto durar, quem o atingir com habilidade Física sofre 10 de dano.</t>
  </si>
  <si>
    <t xml:space="preserve">Estratégia Divina</t>
  </si>
  <si>
    <t xml:space="preserve">2 Aurora + 1 livre</t>
  </si>
  <si>
    <t xml:space="preserve">Remove todos os debuffs do time; o time causa +8 de dano por 2 turnos.</t>
  </si>
  <si>
    <t xml:space="preserve">Sabedoria Tática</t>
  </si>
  <si>
    <t xml:space="preserve">O time começa a partida com 1 orbe de Aurora extra; o time causa +5 de dano contra inimigos sob controle.</t>
  </si>
  <si>
    <t xml:space="preserve">Golpe Sanguinário</t>
  </si>
  <si>
    <t xml:space="preserve">1 Chama</t>
  </si>
  <si>
    <t xml:space="preserve">15 de dano a 1 inimigo; Ares cura 6.</t>
  </si>
  <si>
    <t xml:space="preserve">Sede de Sangue</t>
  </si>
  <si>
    <t xml:space="preserve">2 Chama</t>
  </si>
  <si>
    <t xml:space="preserve">22 de dano a 1 inimigo, +1 de dano por cada 4 de HP que falta em Ares.</t>
  </si>
  <si>
    <t xml:space="preserve">Massacre</t>
  </si>
  <si>
    <t xml:space="preserve">2 Chama + 1 livre</t>
  </si>
  <si>
    <t xml:space="preserve">4 golpes de 12 no mesmo alvo; se o alvo for derrotado, a recarga do Massacre zera.</t>
  </si>
  <si>
    <t xml:space="preserve">Fúria Marcial</t>
  </si>
  <si>
    <t xml:space="preserve">Ares causa +1 de dano por cada 10 de HP perdido.</t>
  </si>
  <si>
    <t xml:space="preserve">Flecha Solar</t>
  </si>
  <si>
    <t xml:space="preserve">Canção da Cura</t>
  </si>
  <si>
    <t xml:space="preserve">1 Aurora + 1 livre</t>
  </si>
  <si>
    <t xml:space="preserve">Cura 25 em 1 aliado e remove Veneno, Queimadura e Sangramento dele.</t>
  </si>
  <si>
    <t xml:space="preserve">Alvorada Radiante</t>
  </si>
  <si>
    <t xml:space="preserve">20 de dano a todos os inimigos; o time cura 12.</t>
  </si>
  <si>
    <t xml:space="preserve">Presságio</t>
  </si>
  <si>
    <t xml:space="preserve">Apolo causa +6 de dano contra inimigos com HP cheio (100).</t>
  </si>
  <si>
    <t xml:space="preserve">Sussurro Encantado</t>
  </si>
  <si>
    <t xml:space="preserve">Encanto</t>
  </si>
  <si>
    <t xml:space="preserve">Domina 1 inimigo por 1 turno: ele usa o próprio Básico contra um aliado dele (você escolhe o alvo).</t>
  </si>
  <si>
    <t xml:space="preserve">Paixão Fatal</t>
  </si>
  <si>
    <t xml:space="preserve">1 Aurora + 2 livres</t>
  </si>
  <si>
    <t xml:space="preserve">Todos os inimigos causam 10 menos de dano por 2 turnos e têm a Habilidade travada por 1 turno.</t>
  </si>
  <si>
    <t xml:space="preserve">Beleza Irresistível</t>
  </si>
  <si>
    <t xml:space="preserve">Ataques de alvo único contra Afrodite causam 5 menos de dano.</t>
  </si>
  <si>
    <t xml:space="preserve">Cetro Real</t>
  </si>
  <si>
    <t xml:space="preserve">Bênção Real</t>
  </si>
  <si>
    <t xml:space="preserve">2 aliados causam +8 de dano e recebem 10 de redução de dano por 2 turnos.</t>
  </si>
  <si>
    <t xml:space="preserve">Juramento Nupcial</t>
  </si>
  <si>
    <t xml:space="preserve">1 Tempestade + 2 livres</t>
  </si>
  <si>
    <t xml:space="preserve">Vincula 2 aliados por 2 turnos: o dano recebido por qualquer um é dividido entre os dois, e ambos ficam imunes a controle.</t>
  </si>
  <si>
    <t xml:space="preserve">Rainha Ciumenta</t>
  </si>
  <si>
    <t xml:space="preserve">Sempre que um aliado é curado, ele ganha 10 de Defesa Destrutível.</t>
  </si>
  <si>
    <t xml:space="preserve">Foice de Ouro</t>
  </si>
  <si>
    <t xml:space="preserve">10 de dano a 1 inimigo.</t>
  </si>
  <si>
    <t xml:space="preserve">Dádiva da Terra</t>
  </si>
  <si>
    <t xml:space="preserve">2 Verdejante</t>
  </si>
  <si>
    <t xml:space="preserve">O time regenera 12 de HP por turno durante 2 turnos.</t>
  </si>
  <si>
    <t xml:space="preserve">Estação Eterna</t>
  </si>
  <si>
    <t xml:space="preserve">2 Verdejante + 1 livre</t>
  </si>
  <si>
    <t xml:space="preserve">Revive 1 aliado caído com 40 de HP; se ninguém caiu, cura 25 no time.</t>
  </si>
  <si>
    <t xml:space="preserve">Ciclo das Estações</t>
  </si>
  <si>
    <t xml:space="preserve">No início de cada turno, o aliado mais ferido cura 6.</t>
  </si>
  <si>
    <t xml:space="preserve">Taça Derramada</t>
  </si>
  <si>
    <t xml:space="preserve">Delírio</t>
  </si>
  <si>
    <t xml:space="preserve">1 inimigo é Silenciado por 1 turno (só Básico) e o time inimigo perde 1 orbe.</t>
  </si>
  <si>
    <t xml:space="preserve">Bacanal</t>
  </si>
  <si>
    <t xml:space="preserve">No próximo turno, todos os inimigos usam o Básico contra aliados deles (você escolhe os alvos).</t>
  </si>
  <si>
    <t xml:space="preserve">Êxtase</t>
  </si>
  <si>
    <t xml:space="preserve">Inimigos Silenciados, Dominados ou Adormecidos não geram orbes.</t>
  </si>
  <si>
    <t xml:space="preserve">Golpe Alado</t>
  </si>
  <si>
    <t xml:space="preserve">2 golpes de 8 em 1 inimigo (16 total).</t>
  </si>
  <si>
    <t xml:space="preserve">Passo Alado</t>
  </si>
  <si>
    <t xml:space="preserve">Todas as recargas de 1 aliado são reduzidas em 1 turno.</t>
  </si>
  <si>
    <t xml:space="preserve">Roubo Divino</t>
  </si>
  <si>
    <t xml:space="preserve">Rouba 2 orbes do inimigo e remove 1 buff de cada inimigo.</t>
  </si>
  <si>
    <t xml:space="preserve">Mensageiro</t>
  </si>
  <si>
    <t xml:space="preserve">Hermes age primeiro no turno 1; ataques de alvo único contra ele causam 5 menos de dano.</t>
  </si>
  <si>
    <t xml:space="preserve">Punho Hercúleo</t>
  </si>
  <si>
    <t xml:space="preserve">20 de dano a 1 inimigo; +4 de dano permanente a cada uso na partida.</t>
  </si>
  <si>
    <t xml:space="preserve">Força Sobre-humana</t>
  </si>
  <si>
    <t xml:space="preserve">40 de dano perfurante a 1 inimigo (ignora redução de dano).</t>
  </si>
  <si>
    <t xml:space="preserve">Coragem Mortal</t>
  </si>
  <si>
    <t xml:space="preserve">1× por partida, Hércules sobrevive a um golpe letal com 1 de HP.</t>
  </si>
  <si>
    <t xml:space="preserve">Estocada de Peleu</t>
  </si>
  <si>
    <t xml:space="preserve">Lança Implacável</t>
  </si>
  <si>
    <t xml:space="preserve">25 de dano puro a 1 inimigo (ignora redução e Defesa Destrutível).</t>
  </si>
  <si>
    <t xml:space="preserve">Fúria de Aquiles</t>
  </si>
  <si>
    <t xml:space="preserve">4 golpes de 11 no mesmo alvo; Aquiles fica Invulnerável por 1 turno.</t>
  </si>
  <si>
    <t xml:space="preserve">Calcanhar de Aquiles</t>
  </si>
  <si>
    <t xml:space="preserve">Aquiles recebe 12 de redução de dano, mas sofre +10 de dano de Manipuladores.</t>
  </si>
  <si>
    <t xml:space="preserve">Lâmina Curva</t>
  </si>
  <si>
    <t xml:space="preserve">Foice Adamantina</t>
  </si>
  <si>
    <t xml:space="preserve">25 de dano a 1 inimigo; ele não pode ser curado por 2 turnos.</t>
  </si>
  <si>
    <t xml:space="preserve">Cabeça da Medusa</t>
  </si>
  <si>
    <t xml:space="preserve">28 de dano a 1 inimigo e o Petrifica (atordoamento total) por 2 turnos.</t>
  </si>
  <si>
    <t xml:space="preserve">Espelho de Bronze</t>
  </si>
  <si>
    <t xml:space="preserve">Perseu é imune a Atordoar e Petrificar; quem tentar atordoá-lo fica atordoado por 1 turno.</t>
  </si>
  <si>
    <t xml:space="preserve">Corda da Lira</t>
  </si>
  <si>
    <t xml:space="preserve">Canção Órfica</t>
  </si>
  <si>
    <t xml:space="preserve">Adormece 1 inimigo por 2 turnos; ele acorda se sofrer dano de Habilidade ou Milagre.</t>
  </si>
  <si>
    <t xml:space="preserve">Lamento do Submundo</t>
  </si>
  <si>
    <t xml:space="preserve">1 Umbra + 2 livres</t>
  </si>
  <si>
    <t xml:space="preserve">Todos os inimigos causam 8 menos de dano por 2 turnos; o time cura 15.</t>
  </si>
  <si>
    <t xml:space="preserve">Melodia Hipnótica</t>
  </si>
  <si>
    <t xml:space="preserve">Inimigos Adormecidos recebem +8 de dano e não geram orbes.</t>
  </si>
  <si>
    <t xml:space="preserve">Presa Peçonhenta</t>
  </si>
  <si>
    <t xml:space="preserve">10 de dano + Veneno (8 de dano puro/turno por 2 turnos).</t>
  </si>
  <si>
    <t xml:space="preserve">Olhar Petrificante</t>
  </si>
  <si>
    <t xml:space="preserve">20 de dano a 1 inimigo; ele não pode usar Habilidade por 1 turno e ganha 1 marca de Pedra.</t>
  </si>
  <si>
    <t xml:space="preserve">Face da Górgona</t>
  </si>
  <si>
    <t xml:space="preserve">+1 marca de Pedra em todos os inimigos. Com 3 marcas, o inimigo é Petrificado por 1 turno e perde as marcas.</t>
  </si>
  <si>
    <t xml:space="preserve">Cabelos de Serpente</t>
  </si>
  <si>
    <t xml:space="preserve">Quem atinge Medusa com habilidade Física recebe Veneno (8/turno por 2 turnos).</t>
  </si>
  <si>
    <t xml:space="preserve">Dentada Tripla</t>
  </si>
  <si>
    <t xml:space="preserve">8 de dano em até 3 inimigos.</t>
  </si>
  <si>
    <t xml:space="preserve">Marca do Guardião</t>
  </si>
  <si>
    <t xml:space="preserve">Provoca 1 inimigo por 2 turnos; Cérberus recebe 15 de redução de dano por 2 turnos.</t>
  </si>
  <si>
    <t xml:space="preserve">Vigília Infernal</t>
  </si>
  <si>
    <t xml:space="preserve">Provoca todos os inimigos por 1 turno; Cérberus ganha 25 de Defesa Destrutível.</t>
  </si>
  <si>
    <t xml:space="preserve">Corrente do Submundo</t>
  </si>
  <si>
    <t xml:space="preserve">Enquanto Cérberus vive, inimigos não podem ser revividos.</t>
  </si>
  <si>
    <t xml:space="preserve">Chicote de Sangue</t>
  </si>
  <si>
    <t xml:space="preserve">Perseguição</t>
  </si>
  <si>
    <t xml:space="preserve">Marca 1 inimigo por 2 turnos: ele recebe +8 de dano de todas as fontes e não pode ser curado.</t>
  </si>
  <si>
    <t xml:space="preserve">Julgamento das Fúrias</t>
  </si>
  <si>
    <t xml:space="preserve">25 de dano a 1 inimigo, +10 por debuff ativo nele; remove esses debuffs.</t>
  </si>
  <si>
    <t xml:space="preserve">Vingança</t>
  </si>
  <si>
    <t xml:space="preserve">Quando um aliado é derrotado, Erínias causa +8 de dano pelo resto da partida.</t>
  </si>
  <si>
    <t xml:space="preserve">Investida de Tentáculo</t>
  </si>
  <si>
    <t xml:space="preserve">Agarre Abissal</t>
  </si>
  <si>
    <t xml:space="preserve">15 de dano a 2 inimigos; eles não podem usar Habilidade por 1 turno.</t>
  </si>
  <si>
    <t xml:space="preserve">Fúria do Abismo</t>
  </si>
  <si>
    <t xml:space="preserve">22 de dano puro a todos os inimigos.</t>
  </si>
  <si>
    <t xml:space="preserve">Massa Colossal</t>
  </si>
  <si>
    <t xml:space="preserve">Kraken recebe 10 de redução de dano; imune a Provocar e a Agarrar.</t>
  </si>
  <si>
    <t xml:space="preserve">Gungnir</t>
  </si>
  <si>
    <t xml:space="preserve">15 de dano a 1 inimigo; ignora Invulnerabilidade e Inalvejável.</t>
  </si>
  <si>
    <t xml:space="preserve">Huginn e Muninn</t>
  </si>
  <si>
    <t xml:space="preserve">Marca todos os inimigos por 2 turnos: o time causa +6 de dano contra marcados.</t>
  </si>
  <si>
    <t xml:space="preserve">Sabedoria do Enforcado</t>
  </si>
  <si>
    <t xml:space="preserve">Odin perde 15 de HP; 1 aliado zera todas as recargas e causa +10 de dano por 2 turnos.</t>
  </si>
  <si>
    <t xml:space="preserve">Rei de Asgard</t>
  </si>
  <si>
    <t xml:space="preserve">Com 2+ Nórdicos no time, o time começa a partida com 1 orbe extra.</t>
  </si>
  <si>
    <t xml:space="preserve">Golpe de Mjölnir</t>
  </si>
  <si>
    <t xml:space="preserve">Arremesso de Mjölnir</t>
  </si>
  <si>
    <t xml:space="preserve">22 de dano a 1 inimigo e 12 a outro.</t>
  </si>
  <si>
    <t xml:space="preserve">Tempestade de Asgard</t>
  </si>
  <si>
    <t xml:space="preserve">20 de dano a todos os inimigos; atordoa o de menor HP por 1 turno.</t>
  </si>
  <si>
    <t xml:space="preserve">Protetor de Midgard</t>
  </si>
  <si>
    <t xml:space="preserve">Todos os aliados recebem 6 de redução de dano.</t>
  </si>
  <si>
    <t xml:space="preserve">Adaga Traiçoeira</t>
  </si>
  <si>
    <t xml:space="preserve">Ilusão</t>
  </si>
  <si>
    <t xml:space="preserve">Loki fica Inalvejável por 1 turno; o próximo ataque de alvo único contra o time é redirecionado a um inimigo.</t>
  </si>
  <si>
    <t xml:space="preserve">Trama do Caos</t>
  </si>
  <si>
    <t xml:space="preserve">Rouba todos os buffs dos inimigos e transfere todos os debuffs do time para eles.</t>
  </si>
  <si>
    <t xml:space="preserve">Metamorfo</t>
  </si>
  <si>
    <t xml:space="preserve">A primeira tentativa de controle contra Loki em cada turno falha.</t>
  </si>
  <si>
    <t xml:space="preserve">Mordida</t>
  </si>
  <si>
    <t xml:space="preserve">Presas Rompedoras</t>
  </si>
  <si>
    <t xml:space="preserve">38 de dano a 1 inimigo; se ele estiver com 20 ou menos de HP, é eliminado.</t>
  </si>
  <si>
    <t xml:space="preserve">Fome Insaciável</t>
  </si>
  <si>
    <t xml:space="preserve">Fenrir causa +8 de dano por inimigo derrotado; imune a Provocar e a Agarrar.</t>
  </si>
  <si>
    <t xml:space="preserve">Toque Gélido</t>
  </si>
  <si>
    <t xml:space="preserve">12 de dano a 1 inimigo; Hel cura 8.</t>
  </si>
  <si>
    <t xml:space="preserve">Domínio de Helheim</t>
  </si>
  <si>
    <t xml:space="preserve">Marca da Morte em 1 inimigo por 2 turnos: 10 de dano puro/turno e ele não pode ser revivido.</t>
  </si>
  <si>
    <t xml:space="preserve">Colheita Fúnebre</t>
  </si>
  <si>
    <t xml:space="preserve">18 de dano a todos os inimigos, +5 por debuff ativo no time inimigo; Hel cura 5 por alvo atingido.</t>
  </si>
  <si>
    <t xml:space="preserve">Metade Viva, Metade Morta</t>
  </si>
  <si>
    <t xml:space="preserve">Em turnos pares, Hel recebe 10 de redução de dano; em turnos ímpares, suas curas curam +8.</t>
  </si>
  <si>
    <t xml:space="preserve">Lâmina Vigilante</t>
  </si>
  <si>
    <t xml:space="preserve">Visão de Cem Léguas</t>
  </si>
  <si>
    <t xml:space="preserve">Por 2 turnos, 1 aliado contra-ataca por 15 quem o atingir com alvo único.</t>
  </si>
  <si>
    <t xml:space="preserve">Chamado do Gjallarhorn</t>
  </si>
  <si>
    <t xml:space="preserve">O time ganha 20 de Defesa Destrutível e imunidade a controle por 2 turnos.</t>
  </si>
  <si>
    <t xml:space="preserve">Sentinela</t>
  </si>
  <si>
    <t xml:space="preserve">O inimigo não pode roubar nem remover orbes do time.</t>
  </si>
  <si>
    <t xml:space="preserve">Lâmina de Brísingamen</t>
  </si>
  <si>
    <t xml:space="preserve">Bênção de Fólkvangr</t>
  </si>
  <si>
    <t xml:space="preserve">Cura 20 em 2 aliados; eles causam +6 de dano por 2 turnos.</t>
  </si>
  <si>
    <t xml:space="preserve">Salão dos Caídos</t>
  </si>
  <si>
    <t xml:space="preserve">Revive 1 aliado caído com 40 de HP; se ninguém caiu, o time causa +12 de dano por 2 turnos.</t>
  </si>
  <si>
    <t xml:space="preserve">Seiðr</t>
  </si>
  <si>
    <t xml:space="preserve">Aliados curados por Freyja causam +5 de dano no turno seguinte.</t>
  </si>
  <si>
    <t xml:space="preserve">Espada de Uma Mão</t>
  </si>
  <si>
    <t xml:space="preserve">Duelo de Honra</t>
  </si>
  <si>
    <t xml:space="preserve">Provoca 1 inimigo por 2 turnos; Tyr recebe 15 de redução de dano por 2 turnos.</t>
  </si>
  <si>
    <t xml:space="preserve">Sacrifício do Bravo</t>
  </si>
  <si>
    <t xml:space="preserve">Tyr perde 20 de HP; o time fica imune a controle e causa +8 de dano por 2 turnos.</t>
  </si>
  <si>
    <t xml:space="preserve">O Maneta</t>
  </si>
  <si>
    <t xml:space="preserve">O dano de Tyr não pode ser reduzido nem absorvido por Defesa Destrutível.</t>
  </si>
  <si>
    <t xml:space="preserve">Golpe Radiante</t>
  </si>
  <si>
    <t xml:space="preserve">Luz Purificadora</t>
  </si>
  <si>
    <t xml:space="preserve">Cura 20 em 1 aliado e remove todos os debuffs dele.</t>
  </si>
  <si>
    <t xml:space="preserve">Invulnerabilidade de Baldur</t>
  </si>
  <si>
    <t xml:space="preserve">1 aliado (ou Baldur) fica Invulnerável por 2 turnos.</t>
  </si>
  <si>
    <t xml:space="preserve">Bênção de Frigga</t>
  </si>
  <si>
    <t xml:space="preserve">Baldur recebe 15 de redução de dano, exceto de habilidades Verdejantes (o visco).</t>
  </si>
  <si>
    <t xml:space="preserve">Verso Cortante</t>
  </si>
  <si>
    <t xml:space="preserve">Saga Heroica</t>
  </si>
  <si>
    <t xml:space="preserve">1 aliado causa +8 de dano por 2 turnos e tem 1 recarga reduzida em 1 turno.</t>
  </si>
  <si>
    <t xml:space="preserve">Canção de Valhalla</t>
  </si>
  <si>
    <t xml:space="preserve">Remove todo controle e debuff do time; o time ganha 2 orbes.</t>
  </si>
  <si>
    <t xml:space="preserve">Eloquência</t>
  </si>
  <si>
    <t xml:space="preserve">Quando um aliado usa um Milagre, o time causa +5 de dano naquele turno.</t>
  </si>
  <si>
    <t xml:space="preserve">Sussurro Ancestral</t>
  </si>
  <si>
    <t xml:space="preserve">Conselho do Poço</t>
  </si>
  <si>
    <t xml:space="preserve">Remove 1 orbe do inimigo; 1 aliado causa +8 de dano por 2 turnos.</t>
  </si>
  <si>
    <t xml:space="preserve">Segredos de Mímir</t>
  </si>
  <si>
    <t xml:space="preserve">Zera todas as recargas de 1 aliado; ele causa +10 de dano por 2 turnos.</t>
  </si>
  <si>
    <t xml:space="preserve">Cabeça Falante</t>
  </si>
  <si>
    <t xml:space="preserve">Mesmo derrotado, Mimir concede +6 de dano ao time — mas não pode ser revivido.</t>
  </si>
  <si>
    <t xml:space="preserve">Punho de Gelo</t>
  </si>
  <si>
    <t xml:space="preserve">Sopro de Niflheim</t>
  </si>
  <si>
    <t xml:space="preserve">12 de dano a todos os inimigos; eles não podem usar Habilidade por 1 turno.</t>
  </si>
  <si>
    <t xml:space="preserve">Corpo do Mundo</t>
  </si>
  <si>
    <t xml:space="preserve">O time ganha 25 de Defesa Destrutível por 2 turnos.</t>
  </si>
  <si>
    <t xml:space="preserve">Ao ser derrotado, Ymir cura 25 no time.</t>
  </si>
  <si>
    <t xml:space="preserve">Bote Venenoso</t>
  </si>
  <si>
    <t xml:space="preserve">10 de dano + Veneno (8/turno por 2 turnos).</t>
  </si>
  <si>
    <t xml:space="preserve">Anel do Mundo</t>
  </si>
  <si>
    <t xml:space="preserve">Veneno (10/turno por 2 turnos) em todos os inimigos; eles causam 5 menos de dano.</t>
  </si>
  <si>
    <t xml:space="preserve">Veneno do Ragnarök</t>
  </si>
  <si>
    <t xml:space="preserve">16 de dano a todos os inimigos, +8 por inimigo envenenado.</t>
  </si>
  <si>
    <t xml:space="preserve">Colossal</t>
  </si>
  <si>
    <t xml:space="preserve">Imune a controle; +8 de dano contra unidades Tempestade.</t>
  </si>
  <si>
    <t xml:space="preserve">Raio Solar</t>
  </si>
  <si>
    <t xml:space="preserve">15 de dano a 1 inimigo; +1 Disco Solar.</t>
  </si>
  <si>
    <t xml:space="preserve">Aurora Divina</t>
  </si>
  <si>
    <t xml:space="preserve">O time causa +8 de dano por 2 turnos; +2 Discos Solares.</t>
  </si>
  <si>
    <t xml:space="preserve">Olho de Rá</t>
  </si>
  <si>
    <t xml:space="preserve">16 de dano a todos os inimigos, +4 por Disco Solar (consome todos).</t>
  </si>
  <si>
    <t xml:space="preserve">Barca do Sol</t>
  </si>
  <si>
    <t xml:space="preserve">Rá ganha 1 Disco Solar por turno (máx. 6); aliados Aurora causam +5 de dano.</t>
  </si>
  <si>
    <t xml:space="preserve">Cajado e Mangual</t>
  </si>
  <si>
    <t xml:space="preserve">Trigo do Renascimento</t>
  </si>
  <si>
    <t xml:space="preserve">Cura 20 em 1 aliado; se ele estiver abaixo de 50 de HP, ganha também 15 de Defesa Destrutível.</t>
  </si>
  <si>
    <t xml:space="preserve">Tribunal do Duat</t>
  </si>
  <si>
    <t xml:space="preserve">Revive 1 aliado caído com 50 de HP e remove os debuffs dele.</t>
  </si>
  <si>
    <t xml:space="preserve">Rei dos Mortos</t>
  </si>
  <si>
    <t xml:space="preserve">Por cada aliado caído, o time causa +8 de dano.</t>
  </si>
  <si>
    <t xml:space="preserve">Verbo Mágico</t>
  </si>
  <si>
    <t xml:space="preserve">Feitiço Roubado</t>
  </si>
  <si>
    <t xml:space="preserve">Copia e usa imediatamente a última Habilidade usada por um aliado (sem pagar o custo dela).</t>
  </si>
  <si>
    <t xml:space="preserve">Ressurreição de Osíris</t>
  </si>
  <si>
    <t xml:space="preserve">2 Aurora + 2 livres</t>
  </si>
  <si>
    <t xml:space="preserve">Revive todos os aliados caídos com 30 de HP. Uma vez por partida.</t>
  </si>
  <si>
    <t xml:space="preserve">Nome Secreto</t>
  </si>
  <si>
    <t xml:space="preserve">Ísis é imune a controle.</t>
  </si>
  <si>
    <t xml:space="preserve">Garras do Céu</t>
  </si>
  <si>
    <t xml:space="preserve">15 de dano a 1 inimigo; ignora Inalvejável.</t>
  </si>
  <si>
    <t xml:space="preserve">Olho de Hórus</t>
  </si>
  <si>
    <t xml:space="preserve">20 de dano perfurante; aplica o Olho por 2 turnos (o alvo recebe +8 de dano de todas as fontes).</t>
  </si>
  <si>
    <t xml:space="preserve">Mergulho do Falcão</t>
  </si>
  <si>
    <t xml:space="preserve">32 de dano; se o alvo tem o Olho, 45 de dano puro.</t>
  </si>
  <si>
    <t xml:space="preserve">Herdeiro do Trono</t>
  </si>
  <si>
    <t xml:space="preserve">+8 de dano contra inimigos marcados ou com o Olho.</t>
  </si>
  <si>
    <t xml:space="preserve">Toque do Embalsamador</t>
  </si>
  <si>
    <t xml:space="preserve">12 de dano + 1 Atadura.</t>
  </si>
  <si>
    <t xml:space="preserve">Pesagem do Coração</t>
  </si>
  <si>
    <t xml:space="preserve">Se o alvo tem mais debuffs que buffs: atordoa por 1 turno e aplica 2 Ataduras. Senão: 25 de dano.</t>
  </si>
  <si>
    <t xml:space="preserve">Sentença do Duat</t>
  </si>
  <si>
    <t xml:space="preserve">+2 Ataduras em todos os inimigos; quem chegar a 4 Ataduras fica Selado por 2 turnos.</t>
  </si>
  <si>
    <t xml:space="preserve">Pesador de Almas</t>
  </si>
  <si>
    <t xml:space="preserve">Inimigos com Atadura não podem ser revividos e recebem +2 de dano por Atadura.</t>
  </si>
  <si>
    <t xml:space="preserve">Arranhão Rápido</t>
  </si>
  <si>
    <t xml:space="preserve">2 golpes de 7 em 1 inimigo.</t>
  </si>
  <si>
    <t xml:space="preserve">Vigília da Gata</t>
  </si>
  <si>
    <t xml:space="preserve">Bastet intercepta o próximo ataque de alvo único contra 1 aliado e contra-ataca por 15.</t>
  </si>
  <si>
    <t xml:space="preserve">1 aliado ganha Vida Extra: na próxima vez que cair, revive na hora com 25 de HP.</t>
  </si>
  <si>
    <t xml:space="preserve">Reflexos Felinos</t>
  </si>
  <si>
    <t xml:space="preserve">O primeiro ataque de alvo único contra Bastet em cada turno causa 8 menos de dano.</t>
  </si>
  <si>
    <t xml:space="preserve">Mordida Brutal</t>
  </si>
  <si>
    <t xml:space="preserve">Arrasto do Nilo</t>
  </si>
  <si>
    <t xml:space="preserve">Submerge 1 inimigo por 1 turno (não age nem pode ser alvo); ao voltar, fica Encharcado.</t>
  </si>
  <si>
    <t xml:space="preserve">Dilúvio</t>
  </si>
  <si>
    <t xml:space="preserve">18 de dano a todos os inimigos; Encharcados sofrem 30.</t>
  </si>
  <si>
    <t xml:space="preserve">Pele de Couraça</t>
  </si>
  <si>
    <t xml:space="preserve">Sobek recebe 10 de redução de dano de Básicos; +6 de dano contra alvos com debuff.</t>
  </si>
  <si>
    <t xml:space="preserve">Mandíbula</t>
  </si>
  <si>
    <t xml:space="preserve">Faro do Pecado</t>
  </si>
  <si>
    <t xml:space="preserve">22 de dano a 1 inimigo, +6 por debuff ativo nele.</t>
  </si>
  <si>
    <t xml:space="preserve">Elimina o alvo se ele estiver Atordoado, Selado ou com 25 ou menos de HP; senão, 35 de dano.</t>
  </si>
  <si>
    <t xml:space="preserve">Sentença Final</t>
  </si>
  <si>
    <t xml:space="preserve">Quem Ammit derrota não pode ser revivido de forma alguma.</t>
  </si>
  <si>
    <t xml:space="preserve">Bico Flamejante</t>
  </si>
  <si>
    <t xml:space="preserve">Chama Purificadora</t>
  </si>
  <si>
    <t xml:space="preserve">12 de dano a todos os inimigos; cura 12 no time.</t>
  </si>
  <si>
    <t xml:space="preserve">Renascer das Cinzas</t>
  </si>
  <si>
    <t xml:space="preserve">Cura 25 no time e remove todos os debuffs.</t>
  </si>
  <si>
    <t xml:space="preserve">Imortal</t>
  </si>
  <si>
    <t xml:space="preserve">1× por partida, Bennu retorna no turno seguinte com 50 de HP após ser derrotado.</t>
  </si>
  <si>
    <t xml:space="preserve">Torno de Barro</t>
  </si>
  <si>
    <t xml:space="preserve">1 Verdejante</t>
  </si>
  <si>
    <t xml:space="preserve">Moldar Vida</t>
  </si>
  <si>
    <t xml:space="preserve">Invoca um Shabti (30 de HP) que Provoca 1 inimigo e absorve o dano dele por 2 turnos.</t>
  </si>
  <si>
    <t xml:space="preserve">Sopro da Criação</t>
  </si>
  <si>
    <t xml:space="preserve">1 Verdejante + 2 livres</t>
  </si>
  <si>
    <t xml:space="preserve">O time ganha 20 de Defesa Destrutível; 1 aliado causa +12 de dano por 2 turnos.</t>
  </si>
  <si>
    <t xml:space="preserve">Modelador</t>
  </si>
  <si>
    <t xml:space="preserve">Quando o Shabti ou um aliado cai, o time cura 12.</t>
  </si>
  <si>
    <t xml:space="preserve">Foice Lunar</t>
  </si>
  <si>
    <t xml:space="preserve">Passagem do Tempo</t>
  </si>
  <si>
    <t xml:space="preserve">Aumenta em 1 turno todas as recargas de 1 inimigo.</t>
  </si>
  <si>
    <t xml:space="preserve">Luar Vingador</t>
  </si>
  <si>
    <t xml:space="preserve">Cura 20 no time e marca 1 inimigo: se ele derrubar um aliado, sofre 30 de dano puro.</t>
  </si>
  <si>
    <t xml:space="preserve">Guardião dos Viajantes</t>
  </si>
  <si>
    <t xml:space="preserve">1× por partida, quando um aliado seria atordoado, Khonshu anula o efeito.</t>
  </si>
  <si>
    <t xml:space="preserve">Presas Selvagens</t>
  </si>
  <si>
    <t xml:space="preserve">Rugido Aterrorizante</t>
  </si>
  <si>
    <t xml:space="preserve">Medo em todos os inimigos por 2 turnos: causam 8 menos de dano e não podem usar Milagre.</t>
  </si>
  <si>
    <t xml:space="preserve">Frenesi Sanguinário</t>
  </si>
  <si>
    <t xml:space="preserve">4 golpes de 10 distribuídos entre os inimigos (você escolhe); Babi cura metade do dano causado.</t>
  </si>
  <si>
    <t xml:space="preserve">Devorador de Entranhas</t>
  </si>
  <si>
    <t xml:space="preserve">+10 de dano contra inimigos com Medo.</t>
  </si>
  <si>
    <t xml:space="preserve">Pétala Cortante</t>
  </si>
  <si>
    <t xml:space="preserve">Perfume de Lótus</t>
  </si>
  <si>
    <t xml:space="preserve">Remove 1 debuff de 1 aliado; ele causa +8 de dano por 2 turnos.</t>
  </si>
  <si>
    <t xml:space="preserve">Desabrochar da Aurora</t>
  </si>
  <si>
    <t xml:space="preserve">Cura 18 no time e regenera 8 por turno durante 3 turnos.</t>
  </si>
  <si>
    <t xml:space="preserve">Fragrância Serena</t>
  </si>
  <si>
    <t xml:space="preserve">Curas feitas por aliados Egípcios curam +5.</t>
  </si>
  <si>
    <t xml:space="preserve">Chifrada</t>
  </si>
  <si>
    <t xml:space="preserve">Investida Solar</t>
  </si>
  <si>
    <t xml:space="preserve">15 de dano a 2 inimigos; Mnevis ganha 15 de Defesa Destrutível.</t>
  </si>
  <si>
    <t xml:space="preserve">Fúria do Touro de Rá</t>
  </si>
  <si>
    <t xml:space="preserve">Provoca todos os inimigos por 2 turnos; Mnevis reflete 10 de todo dano que recebe.</t>
  </si>
  <si>
    <t xml:space="preserve">Montaria do Sol</t>
  </si>
  <si>
    <t xml:space="preserve">Com Rá no time, Mnevis intercepta o primeiro ataque de alvo único contra Rá em cada turno.</t>
  </si>
  <si>
    <t xml:space="preserve">Espelho Yata</t>
  </si>
  <si>
    <t xml:space="preserve">Amanhecer</t>
  </si>
  <si>
    <t xml:space="preserve">Ativa o DIA por 3 turnos (aliados Aurora +8 de dano; inimigos Umbra causam 5 menos); cura 12 no time.</t>
  </si>
  <si>
    <t xml:space="preserve">Luz da Caverna</t>
  </si>
  <si>
    <t xml:space="preserve">18 de dano a todos os inimigos; durante o DIA, 28 e eles não podem usar Habilidade por 1 turno.</t>
  </si>
  <si>
    <t xml:space="preserve">Soberana Celestial</t>
  </si>
  <si>
    <t xml:space="preserve">Durante o DIA, o time recebe 6 de redução de dano.</t>
  </si>
  <si>
    <t xml:space="preserve">Corte de Kusanagi</t>
  </si>
  <si>
    <t xml:space="preserve">15 de dano a 1 inimigo; remove 1 buff dele.</t>
  </si>
  <si>
    <t xml:space="preserve">Yamata no Orochi</t>
  </si>
  <si>
    <t xml:space="preserve">8 golpes de 4 distribuídos como você quiser (32 total).</t>
  </si>
  <si>
    <t xml:space="preserve">Fúria do Tufão</t>
  </si>
  <si>
    <t xml:space="preserve">18 de dano a todos os inimigos, +2 por ponto de Combo (consome todo o Combo).</t>
  </si>
  <si>
    <t xml:space="preserve">Exílio Divino</t>
  </si>
  <si>
    <t xml:space="preserve">Cada ataque de Susanoo gera 2 de Combo; +6 de dano por aliado a menos que o inimigo.</t>
  </si>
  <si>
    <t xml:space="preserve">Lâmina Crescente</t>
  </si>
  <si>
    <t xml:space="preserve">Anoitecer</t>
  </si>
  <si>
    <t xml:space="preserve">Ativa a NOITE por 3 turnos (aliados Umbra +8 de dano; inimigos Aurora causam 5 menos); adormece 1 inimigo por 1 turno.</t>
  </si>
  <si>
    <t xml:space="preserve">Julgamento da Lua</t>
  </si>
  <si>
    <t xml:space="preserve">18 de dano a todos os inimigos; durante a NOITE, Silencia todos por 2 turnos.</t>
  </si>
  <si>
    <t xml:space="preserve">Vingança do Banquete</t>
  </si>
  <si>
    <t xml:space="preserve">+10 de dano contra inimigos que foram curados no turno anterior.</t>
  </si>
  <si>
    <t xml:space="preserve">Toque de Yomi</t>
  </si>
  <si>
    <t xml:space="preserve">12 de dano + 1 Maldição de Yomi.</t>
  </si>
  <si>
    <t xml:space="preserve">Praga de Yomi</t>
  </si>
  <si>
    <t xml:space="preserve">As Maldições de 1 inimigo se espalham para os outros dois; cada Maldição causa 6 de dano puro por turno.</t>
  </si>
  <si>
    <t xml:space="preserve">Portal de Yomotsu</t>
  </si>
  <si>
    <t xml:space="preserve">20 de dano a todos os inimigos; elimina amaldiçoados com 25 ou menos de HP.</t>
  </si>
  <si>
    <t xml:space="preserve">No início de cada turno, o inimigo de maior HP ganha 1 Maldição de Yomi.</t>
  </si>
  <si>
    <t xml:space="preserve">Lança Ame-no-Nuboko</t>
  </si>
  <si>
    <t xml:space="preserve">Remove todos os debuffs de 1 aliado e cura 20; se removeu uma Maldição, cura 10 no time.</t>
  </si>
  <si>
    <t xml:space="preserve">Criação das Ilhas</t>
  </si>
  <si>
    <t xml:space="preserve">O time ganha 20 de Defesa Destrutível e regenera 8 por turno durante 3 turnos.</t>
  </si>
  <si>
    <t xml:space="preserve">Fuga de Yomi</t>
  </si>
  <si>
    <t xml:space="preserve">O time é imune a Maldição de Yomi e a qualquer efeito que se espalhe.</t>
  </si>
  <si>
    <t xml:space="preserve">Tambor Trovejante</t>
  </si>
  <si>
    <t xml:space="preserve">Raio em Cadeia</t>
  </si>
  <si>
    <t xml:space="preserve">18 de dano ao 1º alvo, 12 ao 2º, 8 ao 3º; atordoa o 1º por 1 turno.</t>
  </si>
  <si>
    <t xml:space="preserve">Tempestade dos Tambores</t>
  </si>
  <si>
    <t xml:space="preserve">22 de dano a todos os inimigos; +4 de Combo.</t>
  </si>
  <si>
    <t xml:space="preserve">Ritmo do Trovão</t>
  </si>
  <si>
    <t xml:space="preserve">Cada alvo atingido por Raijin gera 1 de Combo.</t>
  </si>
  <si>
    <t xml:space="preserve">Rajada</t>
  </si>
  <si>
    <t xml:space="preserve">Saco dos Ventos</t>
  </si>
  <si>
    <t xml:space="preserve">Aumenta em 1 turno todas as recargas do time inimigo.</t>
  </si>
  <si>
    <t xml:space="preserve">Vendaval</t>
  </si>
  <si>
    <t xml:space="preserve">15 de dano a todos os inimigos; reduz em 1 turno todas as recargas do time.</t>
  </si>
  <si>
    <t xml:space="preserve">Companheiro de Raijin</t>
  </si>
  <si>
    <t xml:space="preserve">Com Raijin no time, ambos geram +1 de Combo por ação.</t>
  </si>
  <si>
    <t xml:space="preserve">Espiga Dourada</t>
  </si>
  <si>
    <t xml:space="preserve">Colheita Abençoada</t>
  </si>
  <si>
    <t xml:space="preserve">O time ganha 2 orbes de Verdejante.</t>
  </si>
  <si>
    <t xml:space="preserve">Bênção das Mil Portas</t>
  </si>
  <si>
    <t xml:space="preserve">O time ganha 3 orbes livres e cura 15.</t>
  </si>
  <si>
    <t xml:space="preserve">Mensageiros Kitsune</t>
  </si>
  <si>
    <t xml:space="preserve">A cada 3 turnos o time ganha 1 orbe de Verdejante; se a Kitsune está no time, ela começa com 1 Cauda.</t>
  </si>
  <si>
    <t xml:space="preserve">Brasa</t>
  </si>
  <si>
    <t xml:space="preserve">10 de dano + Queimadura (8/turno por 2 turnos).</t>
  </si>
  <si>
    <t xml:space="preserve">Fornalha</t>
  </si>
  <si>
    <t xml:space="preserve">Queimadura pesada (14/turno por 2 turnos); o alvo não pode ser curado por 2 turnos.</t>
  </si>
  <si>
    <t xml:space="preserve">Nascimento em Chamas</t>
  </si>
  <si>
    <t xml:space="preserve">15 de dano a todos os inimigos + Queimadura (10/turno por 2 turnos).</t>
  </si>
  <si>
    <t xml:space="preserve">Chama que Consome</t>
  </si>
  <si>
    <t xml:space="preserve">Todas as Queimaduras no campo causam +4 de dano; Kagutsuchi perde 3 de HP por turno.</t>
  </si>
  <si>
    <t xml:space="preserve">Fogo-fátuo</t>
  </si>
  <si>
    <t xml:space="preserve">Ilusão da Raposa</t>
  </si>
  <si>
    <t xml:space="preserve">Cria uma isca que absorve o próximo ataque de alvo único contra o time; +1 Cauda.</t>
  </si>
  <si>
    <t xml:space="preserve">12 de dano a todos os inimigos, +3 por Cauda; com 5+ Caudas, Domina 1 inimigo por 1 turno.</t>
  </si>
  <si>
    <t xml:space="preserve">Yokai Ancestral</t>
  </si>
  <si>
    <t xml:space="preserve">Kitsune ganha 1 Cauda a cada 2 turnos (máx. 9); a cada 3 Caudas, recebe 5 de redução de dano.</t>
  </si>
  <si>
    <t xml:space="preserve">Pancada da Barriga</t>
  </si>
  <si>
    <t xml:space="preserve">Metamorfose</t>
  </si>
  <si>
    <t xml:space="preserve">Escolha: copia o Básico de um aliado, OU Tanuki fica Inalvejável por 1 turno.</t>
  </si>
  <si>
    <t xml:space="preserve">Golpe da Sorte</t>
  </si>
  <si>
    <t xml:space="preserve">Escolha: 35 de dano puro, OU rouba 2 orbes do inimigo, OU o time causa +12 de dano por 2 turnos.</t>
  </si>
  <si>
    <t xml:space="preserve">Fortuna</t>
  </si>
  <si>
    <t xml:space="preserve">No início da partida, escolha 1 orbe extra de qualquer elemento.</t>
  </si>
  <si>
    <t xml:space="preserve">Kanabō</t>
  </si>
  <si>
    <t xml:space="preserve">Investida Brutal</t>
  </si>
  <si>
    <t xml:space="preserve">22 de dano a 1 inimigo; Provoca o alvo por 2 turnos.</t>
  </si>
  <si>
    <t xml:space="preserve">Fúria Demoníaca</t>
  </si>
  <si>
    <t xml:space="preserve">38 de dano a 1 inimigo; aumenta em 2 turnos todas as recargas dele.</t>
  </si>
  <si>
    <t xml:space="preserve">Oni recebe 10 de redução de dano de habilidades Mágicas; +1 de dano por 4 de Combo.</t>
  </si>
  <si>
    <t xml:space="preserve">Garra Ébria</t>
  </si>
  <si>
    <t xml:space="preserve">Saké Envenenado</t>
  </si>
  <si>
    <t xml:space="preserve">Torpor em 1 inimigo por 2 turnos: quando ele agir, Shuten rouba 10 de HP e 1 orbe dele.</t>
  </si>
  <si>
    <t xml:space="preserve">Banquete de Ōe</t>
  </si>
  <si>
    <t xml:space="preserve">18 de dano a todos os inimigos; rouba 1 orbe por alvo com Torpor.</t>
  </si>
  <si>
    <t xml:space="preserve">Regeneração Demoníaca</t>
  </si>
  <si>
    <t xml:space="preserve">Shuten cura 6 por turno (10 se estiver abaixo de 50 de HP).</t>
  </si>
  <si>
    <t xml:space="preserve">Kusanagi</t>
  </si>
  <si>
    <t xml:space="preserve">15 de dano perfurante a 1 inimigo.</t>
  </si>
  <si>
    <t xml:space="preserve">Disfarce</t>
  </si>
  <si>
    <t xml:space="preserve">Yamato fica Inalvejável por 1 turno; o próximo ataque dele é dano puro.</t>
  </si>
  <si>
    <t xml:space="preserve">Corte Ceifa-Ervas</t>
  </si>
  <si>
    <t xml:space="preserve">28 de dano a 1 inimigo, +2 por ponto de Combo (consome); remove todos os buffs dele.</t>
  </si>
  <si>
    <t xml:space="preserve">Espada dos Céus</t>
  </si>
  <si>
    <t xml:space="preserve">+1 de dano por 3 de Combo; imune a controle com 15 ou mais de Combo.</t>
  </si>
  <si>
    <t xml:space="preserve">Bastão Ruyi Jingu</t>
  </si>
  <si>
    <t xml:space="preserve">15 de dano a 1 inimigo e 10 a outro.</t>
  </si>
  <si>
    <t xml:space="preserve">Fios de Cabelo</t>
  </si>
  <si>
    <t xml:space="preserve">Cria 2 clones que causam 8 de dano cada por turno durante 2 turnos.</t>
  </si>
  <si>
    <t xml:space="preserve">72 Transformações</t>
  </si>
  <si>
    <t xml:space="preserve">Por 2 turnos, Wukong causa +12 de dano e é Inalvejável por habilidades de alvo único.</t>
  </si>
  <si>
    <t xml:space="preserve">Corpo Imortal</t>
  </si>
  <si>
    <t xml:space="preserve">Não pode ser eliminado por execução; 1× por partida sobrevive a um golpe letal com 1 de HP.</t>
  </si>
  <si>
    <t xml:space="preserve">Escama Celeste</t>
  </si>
  <si>
    <t xml:space="preserve">Pedras das Cinco Cores</t>
  </si>
  <si>
    <t xml:space="preserve">Escolha 2: cura 20 no time · time causa +8 de dano · time ganha 15 de Defesa Destrutível · remove 1 debuff de cada aliado · time ganha 1 orbe.</t>
  </si>
  <si>
    <t xml:space="preserve">O time ganha 20 de Defesa Destrutível e regenera 10 por turno durante 3 turnos.</t>
  </si>
  <si>
    <t xml:space="preserve">Mãe da Humanidade</t>
  </si>
  <si>
    <t xml:space="preserve">Quando um aliado cai, os demais causam +10 de dano pelo resto da partida.</t>
  </si>
  <si>
    <t xml:space="preserve">Espada Xuanyuan</t>
  </si>
  <si>
    <t xml:space="preserve">Ordem Imperial</t>
  </si>
  <si>
    <t xml:space="preserve">Reduz em 1 turno todas as recargas do time; o time causa +5 de dano por 2 turnos.</t>
  </si>
  <si>
    <t xml:space="preserve">Carruagem que Aponta o Sul</t>
  </si>
  <si>
    <t xml:space="preserve">Zera todas as recargas de 2 aliados e remove os debuffs deles.</t>
  </si>
  <si>
    <t xml:space="preserve">Soberano Civilizador</t>
  </si>
  <si>
    <t xml:space="preserve">No início de cada turno, a recarga mais longa do time é reduzida em 1.</t>
  </si>
  <si>
    <t xml:space="preserve">Garra do Dragão</t>
  </si>
  <si>
    <t xml:space="preserve">12 de dano + Encharcado por 2 turnos.</t>
  </si>
  <si>
    <t xml:space="preserve">Tempestade de Chuva</t>
  </si>
  <si>
    <t xml:space="preserve">Encharcado em todos os inimigos por 2 turnos; eles causam 5 menos de dano.</t>
  </si>
  <si>
    <t xml:space="preserve">Fúria do Dragão do Mar</t>
  </si>
  <si>
    <t xml:space="preserve">20 de dano a todos os inimigos; atordoa os Encharcados por 1 turno.</t>
  </si>
  <si>
    <t xml:space="preserve">Guardião do Tesouro</t>
  </si>
  <si>
    <t xml:space="preserve">+5 de dano por inimigo Encharcado; imune a Provocar.</t>
  </si>
  <si>
    <t xml:space="preserve">Lança de Ponta Flamejante</t>
  </si>
  <si>
    <t xml:space="preserve">Arsenal Celeste</t>
  </si>
  <si>
    <t xml:space="preserve">Alterna a cada uso: ANEL (o alvo não pode usar Habilidade por 1 turno) → MANTO (12 de dano a todos + Queimadura 8/turno).</t>
  </si>
  <si>
    <t xml:space="preserve">Rodas de Vento e Fogo</t>
  </si>
  <si>
    <t xml:space="preserve">22 de dano a 2 inimigos; +10 se Nezha já agiu neste turno.</t>
  </si>
  <si>
    <t xml:space="preserve">Renascido do Lótus</t>
  </si>
  <si>
    <t xml:space="preserve">Imune a Veneno e Queimadura; 1× por partida, ao cair, retorna no turno seguinte com 40 de HP.</t>
  </si>
  <si>
    <t xml:space="preserve">Lâmina do Dragão Verde</t>
  </si>
  <si>
    <t xml:space="preserve">Juramento do Pêssego</t>
  </si>
  <si>
    <t xml:space="preserve">Vincula-se a 1 aliado por 2 turnos: ambos causam +8 de dano e Guan Yu contra-ataca por 15 quem atingir o aliado.</t>
  </si>
  <si>
    <t xml:space="preserve">Investida do General</t>
  </si>
  <si>
    <t xml:space="preserve">15 de dano a todos os inimigos, +8 por aliado vivo.</t>
  </si>
  <si>
    <t xml:space="preserve">Inabalável</t>
  </si>
  <si>
    <t xml:space="preserve">Com 3 aliados vivos, o time é imune a Medo; o time recebe 5 de redução de dano.</t>
  </si>
  <si>
    <t xml:space="preserve">25 de dano a 1 inimigo (40 se ele for Aurora); remove o DIA.</t>
  </si>
  <si>
    <t xml:space="preserve">Nove Flechas</t>
  </si>
  <si>
    <t xml:space="preserve">9 flechas de 5, alvos à sua escolha (+3 cada contra unidades Aurora).</t>
  </si>
  <si>
    <t xml:space="preserve">Olho de Águia</t>
  </si>
  <si>
    <t xml:space="preserve">Ignora Inalvejável; +8 de dano contra inimigos com qualquer buff.</t>
  </si>
  <si>
    <t xml:space="preserve">Selo do Julgamento</t>
  </si>
  <si>
    <t xml:space="preserve">Livro da Vida e Morte</t>
  </si>
  <si>
    <t xml:space="preserve">Inscreve 1 inimigo: em 3 turnos ele é eliminado se o efeito não for removido; enquanto marcado recebe +8 de dano.</t>
  </si>
  <si>
    <t xml:space="preserve">Convocação dos Yamas</t>
  </si>
  <si>
    <t xml:space="preserve">18 de dano a todos os inimigos; acelera em 1 turno a contagem dos inscritos.</t>
  </si>
  <si>
    <t xml:space="preserve">Juiz dos Mortos</t>
  </si>
  <si>
    <t xml:space="preserve">Quem morre sob o Livro não pode ser revivido; Yan Wong ganha 1 orbe por execução.</t>
  </si>
  <si>
    <t xml:space="preserve">Véu de Luar</t>
  </si>
  <si>
    <t xml:space="preserve">Elixir da Imortalidade</t>
  </si>
  <si>
    <t xml:space="preserve">1 aliado não cai abaixo de 1 de HP por 2 turnos.</t>
  </si>
  <si>
    <t xml:space="preserve">Luz do Jade</t>
  </si>
  <si>
    <t xml:space="preserve">Cura 20 no time e regenera 8 por turno durante 2 turnos; durante a NOITE, cura 30.</t>
  </si>
  <si>
    <t xml:space="preserve">Saudade de Hou Yi</t>
  </si>
  <si>
    <t xml:space="preserve">Com Hou Yi no time, ambos causam +8 de dano e o Elixir passa a ter recarga 2.</t>
  </si>
  <si>
    <t xml:space="preserve">Tridente Trishula</t>
  </si>
  <si>
    <t xml:space="preserve">Tandava</t>
  </si>
  <si>
    <t xml:space="preserve">12 de dano a todos os inimigos; +6 de dano permanente a cada uso na partida.</t>
  </si>
  <si>
    <t xml:space="preserve">Terceiro Olho</t>
  </si>
  <si>
    <t xml:space="preserve">2 Umbra + 2 livres</t>
  </si>
  <si>
    <t xml:space="preserve">45 de dano puro a 1 inimigo; ignora Invulnerabilidade, Defesa Destrutível e 'não cai abaixo de 1 HP'. UMA VEZ POR PARTIDA.</t>
  </si>
  <si>
    <t xml:space="preserve">Ascese Cósmica</t>
  </si>
  <si>
    <t xml:space="preserve">Quando qualquer aliado usa um Milagre, Shiva ganha 1 orbe de Umbra.</t>
  </si>
  <si>
    <t xml:space="preserve">Chakra Sudarshana</t>
  </si>
  <si>
    <t xml:space="preserve">12 de dano a 1 inimigo; remove 1 buff dele.</t>
  </si>
  <si>
    <t xml:space="preserve">Encarnação</t>
  </si>
  <si>
    <t xml:space="preserve">Alterna: NARASIMHA (time causa +8 de dano por 2 turnos) ou KURMA (time ganha 15 de Defesa Destrutível).</t>
  </si>
  <si>
    <t xml:space="preserve">Preservação Cósmica</t>
  </si>
  <si>
    <t xml:space="preserve">Cura 25 no time, remove todos os debuffs; o time não cai abaixo de 1 de HP por 1 turno.</t>
  </si>
  <si>
    <t xml:space="preserve">Serpente Ananta</t>
  </si>
  <si>
    <t xml:space="preserve">O time recebe 5 de redução de dano.</t>
  </si>
  <si>
    <t xml:space="preserve">Flauta Divina</t>
  </si>
  <si>
    <t xml:space="preserve">Conselho do Gita</t>
  </si>
  <si>
    <t xml:space="preserve">Ação Perfeita em 1 aliado: a próxima habilidade dele não pode ser evitada, reduzida, absorvida nem contra-atacada.</t>
  </si>
  <si>
    <t xml:space="preserve">Forma Universal</t>
  </si>
  <si>
    <t xml:space="preserve">O time causa +12 de dano por 2 turnos e ganha 2 orbes.</t>
  </si>
  <si>
    <t xml:space="preserve">Auriga de Arjuna</t>
  </si>
  <si>
    <t xml:space="preserve">O aliado que causou mais dano no turno anterior causa +5 de dano.</t>
  </si>
  <si>
    <t xml:space="preserve">Golpe da Foice</t>
  </si>
  <si>
    <t xml:space="preserve">20 de dano a 1 inimigo, +10 por inimigo abaixo de 50 de HP.</t>
  </si>
  <si>
    <t xml:space="preserve">Dança da Aniquilação</t>
  </si>
  <si>
    <t xml:space="preserve">18 de dano a todos; por 2 turnos Kali ataca de graça por 12 no fim do turno, mas não pode ser curada.</t>
  </si>
  <si>
    <t xml:space="preserve">Guirlanda de Caveiras</t>
  </si>
  <si>
    <t xml:space="preserve">Por inimigo derrotado, Kali causa +10 de dano e cura 15.</t>
  </si>
  <si>
    <t xml:space="preserve">Cajado do Criador</t>
  </si>
  <si>
    <t xml:space="preserve">O time causa +4 de dano — permanente e acumulável a cada uso.</t>
  </si>
  <si>
    <t xml:space="preserve">1 aliado zera todas as recargas e cura 18; o time ganha 3 orbes.</t>
  </si>
  <si>
    <t xml:space="preserve">Pai dos Deuses</t>
  </si>
  <si>
    <t xml:space="preserve">O time começa com 12 de Defesa Destrutível; cada Milagre aliado usado dá +3 de dano permanente ao time.</t>
  </si>
  <si>
    <t xml:space="preserve">Lâminas dos Deuses</t>
  </si>
  <si>
    <t xml:space="preserve">Arsenal dos Deuses</t>
  </si>
  <si>
    <t xml:space="preserve">20 de dano a 1 inimigo; ele causa 8 menos de dano, recebe +8 de dano e não pode usar Habilidade por 1 turno.</t>
  </si>
  <si>
    <t xml:space="preserve">Fim de Mahishasura</t>
  </si>
  <si>
    <t xml:space="preserve">32 de dano (48 se o alvo estiver acima de 70 de HP) e atordoa por 1 turno.</t>
  </si>
  <si>
    <t xml:space="preserve">Montaria Leonina</t>
  </si>
  <si>
    <t xml:space="preserve">Imune a Medo; +8 de dano contra inimigos com qualquer debuff.</t>
  </si>
  <si>
    <t xml:space="preserve">Maça Gada</t>
  </si>
  <si>
    <t xml:space="preserve">Adota 1 aliado como Senhor por 2 turnos: Hanuman intercepta todo o dano dirigido a ele e causa +10 de dano.</t>
  </si>
  <si>
    <t xml:space="preserve">Montanha Dronagiri</t>
  </si>
  <si>
    <t xml:space="preserve">18 de dano a todos os inimigos e cura 30 no Senhor (ou no aliado mais ferido).</t>
  </si>
  <si>
    <t xml:space="preserve">Filho do Vento</t>
  </si>
  <si>
    <t xml:space="preserve">Imune a Queimadura; com Sun Wukong no time, ambos causam +8 de dano.</t>
  </si>
  <si>
    <t xml:space="preserve">Presa Quebrada</t>
  </si>
  <si>
    <t xml:space="preserve">Abrir Caminho</t>
  </si>
  <si>
    <t xml:space="preserve">Remove todos os debuffs de 1 aliado e 1 buff de cada inimigo.</t>
  </si>
  <si>
    <t xml:space="preserve">Bênção do Início</t>
  </si>
  <si>
    <t xml:space="preserve">Remove todo controle e debuff do time, reduz todas as recargas em 1 e o time ganha 2 orbes.</t>
  </si>
  <si>
    <t xml:space="preserve">Senhor dos Começos</t>
  </si>
  <si>
    <t xml:space="preserve">No turno 1, o time ganha 2 orbes extras.</t>
  </si>
  <si>
    <t xml:space="preserve">Cachimbo em Brasa</t>
  </si>
  <si>
    <t xml:space="preserve">12 de dano + Queimadura leve (5/turno por 2 turnos).</t>
  </si>
  <si>
    <t xml:space="preserve">Redemoinho</t>
  </si>
  <si>
    <t xml:space="preserve">Saci fica Inalvejável por 1 turno; ao voltar, rouba 1 buff de um inimigo.</t>
  </si>
  <si>
    <t xml:space="preserve">Travessura Maior</t>
  </si>
  <si>
    <t xml:space="preserve">Rouba 2 orbes do inimigo e trava a Habilidade de cada inimigo por 1 turno.</t>
  </si>
  <si>
    <t xml:space="preserve">Gorro Vermelho</t>
  </si>
  <si>
    <t xml:space="preserve">O primeiro ataque de alvo único contra Saci em cada turno falha; quando falha, Saci contra-ataca por 10.</t>
  </si>
  <si>
    <t xml:space="preserve">Bote Flamejante</t>
  </si>
  <si>
    <t xml:space="preserve">Olhos de Brasa</t>
  </si>
  <si>
    <t xml:space="preserve">Todos os inimigos causam 10 menos de dano por 2 turnos.</t>
  </si>
  <si>
    <t xml:space="preserve">Cobra de Fogo</t>
  </si>
  <si>
    <t xml:space="preserve">20 de dano a todos os inimigos; 32 em quem estiver com Queimadura.</t>
  </si>
  <si>
    <t xml:space="preserve">Imune a Queimadura e cura 10 sempre que uma habilidade de Chama a atinge; o time ignora Inalvejável.</t>
  </si>
  <si>
    <t xml:space="preserve">Canto Suave</t>
  </si>
  <si>
    <t xml:space="preserve">Canto da Sedução</t>
  </si>
  <si>
    <t xml:space="preserve">Provoca 1 inimigo por 2 turnos e o Silencia (só Básico).</t>
  </si>
  <si>
    <t xml:space="preserve">Afogamento</t>
  </si>
  <si>
    <t xml:space="preserve">18 de dano a todos os inimigos; elimina Encharcados com 20 ou menos de HP.</t>
  </si>
  <si>
    <t xml:space="preserve">Beleza Fatal</t>
  </si>
  <si>
    <t xml:space="preserve">Ataques de alvo único contra Iara causam 5 menos de dano; +8 de dano contra Encharcados.</t>
  </si>
  <si>
    <t xml:space="preserve">Cipó Chicoteante</t>
  </si>
  <si>
    <t xml:space="preserve">Por 2 turnos, as habilidades de alvo único dos inimigos atingem um aliado deles (você escolhe o alvo).</t>
  </si>
  <si>
    <t xml:space="preserve">Fúria da Floresta</t>
  </si>
  <si>
    <t xml:space="preserve">Enraíza todos os inimigos por 1 turno (não podem usar Habilidade nem Milagre); cura 15 no time.</t>
  </si>
  <si>
    <t xml:space="preserve">Protetor dos Bichos</t>
  </si>
  <si>
    <t xml:space="preserve">Os aliados recebem 5 de redução de dano; Curupira causa +10 de dano contra unidades Chama.</t>
  </si>
  <si>
    <t xml:space="preserve">Garra de Jacaré</t>
  </si>
  <si>
    <t xml:space="preserve">Nana Neném</t>
  </si>
  <si>
    <t xml:space="preserve">Adormece 1 inimigo por 2 turnos; adormecido recebe +8 de dano e não gera orbes (acorda ao sofrer dano de Habilidade ou Milagre).</t>
  </si>
  <si>
    <t xml:space="preserve">O Papão</t>
  </si>
  <si>
    <t xml:space="preserve">25 de dano a 1 inimigo (38 se estiver Adormecido; com o +8 do próprio sono, 46). Cuca cura metade do dano causado.</t>
  </si>
  <si>
    <t xml:space="preserve">Só Dorme de Sete em Sete Anos</t>
  </si>
  <si>
    <t xml:space="preserve">Imune a Dormir; a cada 3 turnos, Cuca usa o Básico de graça.</t>
  </si>
  <si>
    <t xml:space="preserve">Coice</t>
  </si>
  <si>
    <t xml:space="preserve">Galope em Chamas</t>
  </si>
  <si>
    <t xml:space="preserve">15 de dano a todos os inimigos + Queimadura (8/turno por 2 turnos); a Mula é imune a controle neste turno.</t>
  </si>
  <si>
    <t xml:space="preserve">Relincho Infernal</t>
  </si>
  <si>
    <t xml:space="preserve">22 de dano a todos os inimigos + Medo por 2 turnos.</t>
  </si>
  <si>
    <t xml:space="preserve">Maldição de Quinta-feira</t>
  </si>
  <si>
    <t xml:space="preserve">+1 de dano por cada 5 de HP perdido; imune a Queimadura.</t>
  </si>
  <si>
    <t xml:space="preserve">Nadadeira Ágil</t>
  </si>
  <si>
    <t xml:space="preserve">Baile do Boto</t>
  </si>
  <si>
    <t xml:space="preserve">Domina 1 inimigo por 1 turno (usa o Básico contra um aliado dele); Boto cura o dano causado.</t>
  </si>
  <si>
    <t xml:space="preserve">1 Maré + 2 livres</t>
  </si>
  <si>
    <t xml:space="preserve">Todos os inimigos não podem usar Milagre por 2 turnos; o time cura 15.</t>
  </si>
  <si>
    <t xml:space="preserve">Some ao Amanhecer</t>
  </si>
  <si>
    <t xml:space="preserve">A cada 3 turnos, Boto fica Inalvejável por 1 turno; durante a NOITE, a Dominação dura +1 turno.</t>
  </si>
  <si>
    <t xml:space="preserve">Mordidas</t>
  </si>
  <si>
    <t xml:space="preserve">3 golpes de 5 + Sangramento (6/turno por 2 turnos).</t>
  </si>
  <si>
    <t xml:space="preserve">Frenesi Alimentar</t>
  </si>
  <si>
    <t xml:space="preserve">4 golpes de 6 em 1 inimigo; +3 por golpe se ele estiver Sangrando.</t>
  </si>
  <si>
    <t xml:space="preserve">18 de dano a todos os inimigos; 28 em quem estiver Sangrando ou Encharcado.</t>
  </si>
  <si>
    <t xml:space="preserve">Sangue na Água</t>
  </si>
  <si>
    <t xml:space="preserve">O Sangramento causa +4 quando o alvo age; +8 de dano contra alvos abaixo de 50 de HP.</t>
  </si>
  <si>
    <t xml:space="preserve">Padê</t>
  </si>
  <si>
    <t xml:space="preserve">10 de dano a 1 inimigo; o time ganha 1 orbe de Umbra.</t>
  </si>
  <si>
    <t xml:space="preserve">Abrir e Fechar Caminhos</t>
  </si>
  <si>
    <t xml:space="preserve">Escolha: ABRIR (1 aliado zera 1 recarga) ou FECHAR (trava a Habilidade OU o Milagre de 1 inimigo por 2 turnos).</t>
  </si>
  <si>
    <t xml:space="preserve">Encruzilhada</t>
  </si>
  <si>
    <t xml:space="preserve">Rouba 2 orbes do inimigo, remove 1 buff de cada inimigo e trava o Milagre deles por 1 turno.</t>
  </si>
  <si>
    <t xml:space="preserve">O Primeiro a Ser Servido</t>
  </si>
  <si>
    <t xml:space="preserve">Exu age primeiro em todos os turnos.</t>
  </si>
  <si>
    <t xml:space="preserve">Machado Oxê</t>
  </si>
  <si>
    <t xml:space="preserve">Balança da Justiça</t>
  </si>
  <si>
    <t xml:space="preserve">Por 2 turnos Xangô armazena todo o dano que o time recebe; ao fim, devolve o total (máx. 50) a 1 inimigo como dano puro.</t>
  </si>
  <si>
    <t xml:space="preserve">Trovão e Fogo</t>
  </si>
  <si>
    <t xml:space="preserve">20 de dano a todos os inimigos; 30 em quem tiver algum buff.</t>
  </si>
  <si>
    <t xml:space="preserve">Coroa de Xangô</t>
  </si>
  <si>
    <t xml:space="preserve">Quando um aliado é atingido, Xangô acumula +3 de dano no próximo ataque (até +15).</t>
  </si>
  <si>
    <t xml:space="preserve">Opaxorô</t>
  </si>
  <si>
    <t xml:space="preserve">Paz de Oxalá</t>
  </si>
  <si>
    <t xml:space="preserve">Por 1 turno, os inimigos podem agir mas causam 0 de dano (Pacificar).</t>
  </si>
  <si>
    <t xml:space="preserve">Manto Branco</t>
  </si>
  <si>
    <t xml:space="preserve">Remove todos os debuffs do time, concede 20 de Defesa Destrutível; o time não cai abaixo de 1 de HP por 1 turno.</t>
  </si>
  <si>
    <t xml:space="preserve">O time recebe 5 de redução de dano e começa a partida com 1 orbe de Aurora extra.</t>
  </si>
  <si>
    <t xml:space="preserve">Facão de Ferro</t>
  </si>
  <si>
    <t xml:space="preserve">Abrir Caminho à Força</t>
  </si>
  <si>
    <t xml:space="preserve">Destrói toda a Defesa Destrutível do alvo e remove seus buffs defensivos; 20 de dano.</t>
  </si>
  <si>
    <t xml:space="preserve">Forja de Guerra</t>
  </si>
  <si>
    <t xml:space="preserve">38 de dano puro a 1 inimigo; Ogum causa +10 de dano pelo resto da partida.</t>
  </si>
  <si>
    <t xml:space="preserve">Senhor do Ferro</t>
  </si>
  <si>
    <t xml:space="preserve">+10 de dano contra alvos com Defesa Destrutível ou redução de dano; o dano de Ogum não pode ser reduzido.</t>
  </si>
  <si>
    <t xml:space="preserve">Espelho Dourado</t>
  </si>
  <si>
    <t xml:space="preserve">Águas de Oxum</t>
  </si>
  <si>
    <t xml:space="preserve">Cura 20 em 1 aliado; o time ganha 1 orbe de Maré.</t>
  </si>
  <si>
    <t xml:space="preserve">Rio de Ouro</t>
  </si>
  <si>
    <t xml:space="preserve">Cura 20 no time, regenera 8 por turno durante 2 turnos e o time ganha 2 orbes.</t>
  </si>
  <si>
    <t xml:space="preserve">Doçura e Ouro</t>
  </si>
  <si>
    <t xml:space="preserve">Aliados curados por Oxum causam +5 de dano no turno seguinte.</t>
  </si>
  <si>
    <t xml:space="preserve">Espada de Vento</t>
  </si>
  <si>
    <t xml:space="preserve">Ventania</t>
  </si>
  <si>
    <t xml:space="preserve">Remove 1 buff de cada inimigo; eles causam 5 menos de dano por 2 turnos.</t>
  </si>
  <si>
    <t xml:space="preserve">Guardiã dos Eguns</t>
  </si>
  <si>
    <t xml:space="preserve">18 de dano a todos; destrói todas as invocações inimigas e impede revives por 2 turnos.</t>
  </si>
  <si>
    <t xml:space="preserve">Corisco</t>
  </si>
  <si>
    <t xml:space="preserve">Quando um inimigo é derrotado, Iansã ganha 1 orbe e causa +8 de dano pelo resto da partida.</t>
  </si>
  <si>
    <t xml:space="preserve">Clava de Dois Fins</t>
  </si>
  <si>
    <t xml:space="preserve">12 de dano a 1 inimigo; a cada 3º uso, em vez de atacar, cura 20 em 1 aliado.</t>
  </si>
  <si>
    <t xml:space="preserve">Caldeirão da Fartura</t>
  </si>
  <si>
    <t xml:space="preserve">O time regenera 12 por turno durante 3 turnos.</t>
  </si>
  <si>
    <t xml:space="preserve">Harpa Uaithne</t>
  </si>
  <si>
    <t xml:space="preserve">O time age primeiro no próximo turno e todos os buffs inimigos ficam suspensos por 1 turno.</t>
  </si>
  <si>
    <t xml:space="preserve">Curas no time curam +5; com o Caldeirão ativo, aliados não caem abaixo de 1 de HP no turno em que forem curados.</t>
  </si>
  <si>
    <t xml:space="preserve">Lança de Assal</t>
  </si>
  <si>
    <t xml:space="preserve">15 de dano a 1 inimigo; não pode ser evitado nem contra-atacado.</t>
  </si>
  <si>
    <t xml:space="preserve">Escolha: GUERRA (15 de dano a todos) · CURA (18 no time) · FORJA (time causa +8 de dano por 2 turnos).</t>
  </si>
  <si>
    <t xml:space="preserve">Funda de Balor</t>
  </si>
  <si>
    <t xml:space="preserve">38 de dano puro ao inimigo de maior HP; se ele estiver com 20 ou menos, é eliminado.</t>
  </si>
  <si>
    <t xml:space="preserve">Luz do Sol</t>
  </si>
  <si>
    <t xml:space="preserve">Durante o DIA, Lugh causa +10 de dano e Samildánach fica sem recarga.</t>
  </si>
  <si>
    <t xml:space="preserve">Bico de Corvo</t>
  </si>
  <si>
    <t xml:space="preserve">Presságio de Morte</t>
  </si>
  <si>
    <t xml:space="preserve">Por 2 turnos, 1 inimigo não pode ser curado e é eliminado se terminar um turno com 20 ou menos de HP.</t>
  </si>
  <si>
    <t xml:space="preserve">15 de dano a todos + Medo por 2 turnos; 25 nos profetizados.</t>
  </si>
  <si>
    <t xml:space="preserve">Forma de Corvo</t>
  </si>
  <si>
    <t xml:space="preserve">Quando um inimigo é derrotado, Morrigan cura 15 e ganha 1 orbe de Umbra.</t>
  </si>
  <si>
    <t xml:space="preserve">Fagulha da Forja</t>
  </si>
  <si>
    <t xml:space="preserve">10 de dano + Queimadura leve (5/turno por 2 turnos).</t>
  </si>
  <si>
    <t xml:space="preserve">Chama Sagrada</t>
  </si>
  <si>
    <t xml:space="preserve">Cura 15 no time E causa 12 de dano a todos os inimigos no mesmo golpe.</t>
  </si>
  <si>
    <t xml:space="preserve">Poço de Cura</t>
  </si>
  <si>
    <t xml:space="preserve">Cura 25 no time, remove todos os debuffs e regenera 8 por turno durante 2 turnos.</t>
  </si>
  <si>
    <t xml:space="preserve">Ferreira Divina</t>
  </si>
  <si>
    <t xml:space="preserve">O time começa a partida causando +5 de dano (permanente); curas curam +5 se algum inimigo estiver com Queimadura.</t>
  </si>
  <si>
    <t xml:space="preserve">Chifres do Bosque</t>
  </si>
  <si>
    <t xml:space="preserve">Chamado da Matilha</t>
  </si>
  <si>
    <t xml:space="preserve">Invoca uma Fera (30 de HP) que causa 10 de dano por turno; se cair, renasce em 2 turnos.</t>
  </si>
  <si>
    <t xml:space="preserve">Caçada Selvagem</t>
  </si>
  <si>
    <t xml:space="preserve">18 de dano a todos os inimigos, +5 por efeito de regeneração ativo no time.</t>
  </si>
  <si>
    <t xml:space="preserve">Ciclo da Vida</t>
  </si>
  <si>
    <t xml:space="preserve">Regenerações no time curam +4; a Fera cura 8 em Cernunnos ao atacar.</t>
  </si>
  <si>
    <t xml:space="preserve">Presas do Vento</t>
  </si>
  <si>
    <t xml:space="preserve">Voo da Serpente</t>
  </si>
  <si>
    <t xml:space="preserve">Kukulkán fica Inalvejável por 1 turno; no turno seguinte causa 25 de dano a todos os inimigos.</t>
  </si>
  <si>
    <t xml:space="preserve">Estrela da Manhã</t>
  </si>
  <si>
    <t xml:space="preserve">20 de dano a todos; o time causa +10 de dano por 2 turnos.</t>
  </si>
  <si>
    <t xml:space="preserve">Deus-Rei</t>
  </si>
  <si>
    <t xml:space="preserve">+8 de dano contra Encharcados; o time ganha 1 orbe extra no turno 1.</t>
  </si>
  <si>
    <t xml:space="preserve">Toque da Podridão</t>
  </si>
  <si>
    <t xml:space="preserve">12 de dano + 1 Podridão.</t>
  </si>
  <si>
    <t xml:space="preserve">+1 Podridão em 1 inimigo. Cada Podridão reduz o HP máximo dele em 10 e ele não pode ser curado.</t>
  </si>
  <si>
    <t xml:space="preserve">Portões de Xibalbá</t>
  </si>
  <si>
    <t xml:space="preserve">Ah Puch perde 15 de HP; 18 de dano a todos os inimigos, +8 por Podridão no campo.</t>
  </si>
  <si>
    <t xml:space="preserve">Senhor da Morte</t>
  </si>
  <si>
    <t xml:space="preserve">Quando um inimigo é derrotado, Ah Puch cura 15 e ganha 1 orbe; quem tem Podridão não pode ser revivido.</t>
  </si>
  <si>
    <t xml:space="preserve">Machado das Nuvens</t>
  </si>
  <si>
    <t xml:space="preserve">Encharcado em todos os inimigos por 2 turnos; cura 12 no time.</t>
  </si>
  <si>
    <t xml:space="preserve">Tempestade de Raios</t>
  </si>
  <si>
    <t xml:space="preserve">20 de dano a todos; 32 nos Encharcados e os atordoa por 1 turno.</t>
  </si>
  <si>
    <t xml:space="preserve">Senhor das Colheitas</t>
  </si>
  <si>
    <t xml:space="preserve">+8 de dano contra Encharcados; regenerações no time curam +4.</t>
  </si>
  <si>
    <t xml:space="preserve">Glifo Sagrado</t>
  </si>
  <si>
    <t xml:space="preserve">Escrita Sagrada</t>
  </si>
  <si>
    <t xml:space="preserve">1 aliado tem todas as recargas reduzidas em 1 turno e causa +5 de dano por 2 turnos (acumulável).</t>
  </si>
  <si>
    <t xml:space="preserve">Aurora da Criação</t>
  </si>
  <si>
    <t xml:space="preserve">Cura 25 no time, restaura todo HP máximo perdido (Podridão) e remove todos os debuffs.</t>
  </si>
  <si>
    <t xml:space="preserve">Guardião do Dia</t>
  </si>
  <si>
    <t xml:space="preserve">Curas no time curam +5; durante o DIA, o time ganha 1 orbe extra por turno.</t>
  </si>
  <si>
    <t xml:space="preserve">GLOSSÁRIO DE EFEITOS — lista fechada</t>
  </si>
  <si>
    <t xml:space="preserve">Regra de ouro: se um efeito não está nesta lista, ele não existe. A lista original tinha 45+ marcadores, muitos com sobreposição e muitos baseados em porcentagem de chance. Esta versão tem menos entradas, todas determinísticas, e cada uma faz uma coisa distinta.</t>
  </si>
  <si>
    <t xml:space="preserve">CONTROLE</t>
  </si>
  <si>
    <t xml:space="preserve">A unidade perde a ação inteira no próximo turno. Ainda gera orbe.</t>
  </si>
  <si>
    <t xml:space="preserve">Petrificar</t>
  </si>
  <si>
    <t xml:space="preserve">Atordoamento de 2 turnos. Só existe via Milagre.</t>
  </si>
  <si>
    <t xml:space="preserve">Selar</t>
  </si>
  <si>
    <t xml:space="preserve">Igual a Atordoar, mas de tema morte/atadura — importa porque alguns kits leem 'Selado' (ex.: Ammit).</t>
  </si>
  <si>
    <t xml:space="preserve">Silenciar</t>
  </si>
  <si>
    <t xml:space="preserve">Só pode usar o Básico. Bloqueia Habilidade, Milagre e escolhas.</t>
  </si>
  <si>
    <t xml:space="preserve">Provocar</t>
  </si>
  <si>
    <t xml:space="preserve">Só pode atacar quem provocou. Não afeta habilidades de área.</t>
  </si>
  <si>
    <t xml:space="preserve">Pacificar</t>
  </si>
  <si>
    <t xml:space="preserve">Pode agir normalmente, mas todo dano que causa é 0.</t>
  </si>
  <si>
    <t xml:space="preserve">Adormecer</t>
  </si>
  <si>
    <t xml:space="preserve">Perde a ação; acorda ao sofrer dano de Habilidade ou Milagre (DoT e Básico não acordam).</t>
  </si>
  <si>
    <t xml:space="preserve">Dominar</t>
  </si>
  <si>
    <t xml:space="preserve">No próximo turno, a unidade usa o próprio Básico contra um aliado dela. Quem controla escolhe o alvo.</t>
  </si>
  <si>
    <t xml:space="preserve">Medo</t>
  </si>
  <si>
    <t xml:space="preserve">Causa 8 menos de dano e não pode usar Milagre. Duração 2 turnos.</t>
  </si>
  <si>
    <t xml:space="preserve">Enraizar / Agarrar</t>
  </si>
  <si>
    <t xml:space="preserve">Não pode usar Habilidade nem Milagre. O Básico continua liberado.</t>
  </si>
  <si>
    <t xml:space="preserve">Submergir / Banir</t>
  </si>
  <si>
    <t xml:space="preserve">Sai do combate por 1 turno: não age, não pode ser alvo, não sofre DoT, mas também não gera orbe.</t>
  </si>
  <si>
    <t xml:space="preserve">Travar habilidade</t>
  </si>
  <si>
    <t xml:space="preserve">Uma entrada específica (Habilidade OU Milagre) fica indisponível pela duração. Não é Silenciar.</t>
  </si>
  <si>
    <t xml:space="preserve">DEFESA</t>
  </si>
  <si>
    <t xml:space="preserve">Reserva numérica que absorve dano antes do HP. Escudos de fontes diferentes somam. Não bloqueia dano puro.</t>
  </si>
  <si>
    <t xml:space="preserve">Valor FLAT subtraído de cada golpe recebido (mínimo 0). Não afeta dano perfurante nem puro.</t>
  </si>
  <si>
    <t xml:space="preserve">Defesa (ação universal)</t>
  </si>
  <si>
    <t xml:space="preserve">Toda unidade tem. 1 orbe livre, recarga 4, gasta a ação: Invulnerável por 1 turno. Não é uma Habilidade, então Silenciar não a bloqueia — mas Atordoar sim.</t>
  </si>
  <si>
    <t xml:space="preserve">Invulnerável</t>
  </si>
  <si>
    <t xml:space="preserve">Imune a dano NOVO e a efeitos NOVOS pela duração. Continua podendo ser alvo. DoT já aplicado (Veneno, Queimadura, Sangramento, Maldição, Podridão) CONTINUA a contar — é a brecha desenhada, e é o que impede a rotação de Defesa de anular a ofensiva.</t>
  </si>
  <si>
    <t xml:space="preserve">Inalvejável</t>
  </si>
  <si>
    <t xml:space="preserve">Não pode ser escolhido como alvo de habilidade de alvo único. Área ainda atinge.</t>
  </si>
  <si>
    <t xml:space="preserve">Imunidade a controle</t>
  </si>
  <si>
    <t xml:space="preserve">Ignora tudo da seção CONTROLE pela duração.</t>
  </si>
  <si>
    <t xml:space="preserve">Imunidade a morte</t>
  </si>
  <si>
    <t xml:space="preserve">Não cai abaixo de 1 de HP pela duração.</t>
  </si>
  <si>
    <t xml:space="preserve">Vida Extra</t>
  </si>
  <si>
    <t xml:space="preserve">Ao cair, revive imediatamente com o HP indicado. Uma vez.</t>
  </si>
  <si>
    <t xml:space="preserve">Contra-ataque</t>
  </si>
  <si>
    <t xml:space="preserve">Ao ser atingido por alvo único, devolve o dano indicado automaticamente. Não gasta ação.</t>
  </si>
  <si>
    <t xml:space="preserve">Interceptar</t>
  </si>
  <si>
    <t xml:space="preserve">Redireciona para si o dano dirigido a outro aliado.</t>
  </si>
  <si>
    <t xml:space="preserve">Isca</t>
  </si>
  <si>
    <t xml:space="preserve">Unidade falsa que absorve o próximo ataque de alvo único contra o time.</t>
  </si>
  <si>
    <t xml:space="preserve">DANO CONTÍNUO (sempre dano puro)</t>
  </si>
  <si>
    <t xml:space="preserve">Veneno / Queimadura / Sangramento</t>
  </si>
  <si>
    <t xml:space="preserve">Dano no início do turno do alvo. Mesma mecânica, nomes distintos porque kits leem cada um.</t>
  </si>
  <si>
    <t xml:space="preserve">Maldição de Yomi</t>
  </si>
  <si>
    <t xml:space="preserve">DoT que se espalha para as unidades vizinhas via a Habilidade de Izanami.</t>
  </si>
  <si>
    <t xml:space="preserve">Podridão</t>
  </si>
  <si>
    <t xml:space="preserve">DoT que também reduz o HP MÁXIMO do alvo em 10 por acúmulo. Só Itzamná restaura HP máximo perdido.</t>
  </si>
  <si>
    <t xml:space="preserve">Torpor</t>
  </si>
  <si>
    <t xml:space="preserve">Quando o alvo age, quem aplicou rouba HP e orbe dele.</t>
  </si>
  <si>
    <t xml:space="preserve">MODIFICADORES</t>
  </si>
  <si>
    <t xml:space="preserve">+dano / −dano</t>
  </si>
  <si>
    <t xml:space="preserve">Valor flat somado ou subtraído do dano que a unidade CAUSA. Sempre com duração.</t>
  </si>
  <si>
    <t xml:space="preserve">Marca</t>
  </si>
  <si>
    <t xml:space="preserve">O alvo recebe dano extra de todas as fontes, ou habilita uma condição definida no kit.</t>
  </si>
  <si>
    <t xml:space="preserve">Encharcado</t>
  </si>
  <si>
    <t xml:space="preserve">O alvo recebe +5 de dano de Maré e Tempestade e serve de gatilho: muitos kits têm bônus contra Encharcados (dano dobrado, atordoar, executar). Padrão 2 turnos.</t>
  </si>
  <si>
    <t xml:space="preserve">Não pode ser curado</t>
  </si>
  <si>
    <t xml:space="preserve">Bloqueia cura e regeneração no alvo pela duração.</t>
  </si>
  <si>
    <t xml:space="preserve">Anti-revive</t>
  </si>
  <si>
    <t xml:space="preserve">O alvo (ou o morto) não pode ser trazido de volta pela duração.</t>
  </si>
  <si>
    <t xml:space="preserve">Executar</t>
  </si>
  <si>
    <t xml:space="preserve">Elimina direto sob a condição indicada. Limiar do jogo: 20 a 25 de HP.</t>
  </si>
  <si>
    <t xml:space="preserve">Ação Perfeita</t>
  </si>
  <si>
    <t xml:space="preserve">A próxima habilidade do aliado não pode ser evitada, reduzida, absorvida nem contra-atacada.</t>
  </si>
  <si>
    <t xml:space="preserve">Regeneração</t>
  </si>
  <si>
    <t xml:space="preserve">Cura por turno, no início do turno do aliado.</t>
  </si>
  <si>
    <t xml:space="preserve">RECURSO</t>
  </si>
  <si>
    <t xml:space="preserve">Ganhar / roubar / remover orbe</t>
  </si>
  <si>
    <t xml:space="preserve">Roubar transfere para você; remover só apaga. Heimdall bloqueia ambos.</t>
  </si>
  <si>
    <t xml:space="preserve">Converter orbe</t>
  </si>
  <si>
    <t xml:space="preserve">3 orbes quaisquer → 1 do tipo que você escolher. 1× por turno, por time. Não gasta ação. Ninguém bloqueia.</t>
  </si>
  <si>
    <t xml:space="preserve">Reduzir / aumentar recarga</t>
  </si>
  <si>
    <t xml:space="preserve">Mexe no relógio, não no dano. É o eixo dos Manipuladores e Comandantes.</t>
  </si>
  <si>
    <t xml:space="preserve">Zerar recargas</t>
  </si>
  <si>
    <t xml:space="preserve">Todas as entradas do aliado ficam prontas na hora. Só Milagre.</t>
  </si>
  <si>
    <t xml:space="preserve">Invocação</t>
  </si>
  <si>
    <t xml:space="preserve">Unidade extra com HP próprio. Não ocupa slot, não gera orbe, pode ser alvo. Iansã destrói todas.</t>
  </si>
  <si>
    <t xml:space="preserve">RECURSOS DE CAMPO — contadores compartilhados</t>
  </si>
  <si>
    <t xml:space="preserve">São os sistemas que fazem um time ter sinergia interna. Cada um pertence a um grupo pequeno de deuses e é o que dá razão para montar time temático em vez de juntar as 3 unidades mais fortes.</t>
  </si>
  <si>
    <t xml:space="preserve">Recurso</t>
  </si>
  <si>
    <t xml:space="preserve">Quem usa</t>
  </si>
  <si>
    <t xml:space="preserve">DIA / NOITE</t>
  </si>
  <si>
    <t xml:space="preserve">Amaterasu, Tsukuyomi, Hou Yi, Lugh, Chang'e, Boto, Itzamná</t>
  </si>
  <si>
    <t xml:space="preserve">Estado global e exclusivo: ativar um cancela o outro. DIA: aliados Aurora +8 de dano, inimigos Umbra causam 5 menos. NOITE: o espelho. Dura 3 turnos. Hou Yi remove o DIA com a Habilidade — é a resposta desenhada.</t>
  </si>
  <si>
    <t xml:space="preserve">Combo</t>
  </si>
  <si>
    <t xml:space="preserve">Susanoo, Raijin, Fujin, Oni, Yamato Takeru</t>
  </si>
  <si>
    <t xml:space="preserve">Pool do TIME, não da unidade. Acumula com ataques; Susanoo e Yamato consomem tudo num finalizador. Teto 20. Time japonês inteiro escala junto.</t>
  </si>
  <si>
    <t xml:space="preserve">Disco Solar</t>
  </si>
  <si>
    <t xml:space="preserve">Rá (e Mnevis por sinergia)</t>
  </si>
  <si>
    <t xml:space="preserve">Só de Rá. Ganha 1 por turno e mais pelas habilidades, máx. 6. O Olho de Rá consome todos e escala. Recompensa paciência.</t>
  </si>
  <si>
    <t xml:space="preserve">Caudas</t>
  </si>
  <si>
    <t xml:space="preserve">Kitsune (Inari dá 1 de graça)</t>
  </si>
  <si>
    <t xml:space="preserve">Kitsune ganha 1 a cada 2 turnos, máx. 9. Cada 3 Caudas dão 5 de redução de dano; Nove Caudas escala com o total. Partida longa favorece ela.</t>
  </si>
  <si>
    <t xml:space="preserve">Atadura</t>
  </si>
  <si>
    <t xml:space="preserve">Acumula no inimigo. Com 4, ele fica Selado por 2 turnos. Cada Atadura também dá +2 de dano recebido e bloqueia revive.</t>
  </si>
  <si>
    <t xml:space="preserve">Marca de Pedra</t>
  </si>
  <si>
    <t xml:space="preserve">Acumula no inimigo. Com 3, Petrifica por 1 turno e zera. Controle que o oponente vê chegando — e por isso é justo.</t>
  </si>
  <si>
    <t xml:space="preserve">Izanami (Izanagi é a resposta)</t>
  </si>
  <si>
    <t xml:space="preserve">Acumula e se espalha. Portal de Yomotsu executa amaldiçoados abaixo de 25 de HP. Izanagi imuniza o time inteiro.</t>
  </si>
  <si>
    <t xml:space="preserve">Acumula e reduz HP MÁXIMO em 10 por acúmulo — dano que a cura não desfaz. Só Itzamná restaura.</t>
  </si>
  <si>
    <t xml:space="preserve">Contagem de 3 turnos que executa se não for removida. Cria um relógio: o oponente tem que gastar remoção ou morrer.</t>
  </si>
  <si>
    <t xml:space="preserve">AQUISIÇÃO — gacha sem poder</t>
  </si>
  <si>
    <t xml:space="preserve">Princípio: o gacha vende ACESSO e OPÇÕES, nunca números. Duas rotas para todo deus — invocar (rápido, pago) ou Provação (grátis, exige habilidade). Nenhuma cópia, item ou moeda deste sistema altera um único ponto de dano.</t>
  </si>
  <si>
    <t xml:space="preserve">Rota 1 — Invocação (gacha)</t>
  </si>
  <si>
    <t xml:space="preserve">Custo por invocação</t>
  </si>
  <si>
    <t xml:space="preserve">150 Gema</t>
  </si>
  <si>
    <t xml:space="preserve">Herdado do original.</t>
  </si>
  <si>
    <t xml:space="preserve">Invocação de 10</t>
  </si>
  <si>
    <t xml:space="preserve">1350 Gema</t>
  </si>
  <si>
    <t xml:space="preserve">Desconto de 10%.</t>
  </si>
  <si>
    <t xml:space="preserve">Faixas de invocação</t>
  </si>
  <si>
    <t xml:space="preserve">Nível A / S / SS</t>
  </si>
  <si>
    <t xml:space="preserve">Renomeado de 3★/4★/5★ para deixar claro que é COMPLEXIDADE de kit, não força. SS = kit com 3+ peças móveis. Nunca aparece na tela de partida.</t>
  </si>
  <si>
    <t xml:space="preserve">Taxa — SS</t>
  </si>
  <si>
    <t xml:space="preserve">3%</t>
  </si>
  <si>
    <t xml:space="preserve">Subiu de 1,5%. Como não existe mais poder por raridade, taxa baixa só gera frustração sem proteger balanceamento.</t>
  </si>
  <si>
    <t xml:space="preserve">Taxa — S</t>
  </si>
  <si>
    <t xml:space="preserve">17%</t>
  </si>
  <si>
    <t xml:space="preserve">Taxa — A</t>
  </si>
  <si>
    <t xml:space="preserve">80%</t>
  </si>
  <si>
    <t xml:space="preserve">Pity (garantia)</t>
  </si>
  <si>
    <t xml:space="preserve">60 invocações</t>
  </si>
  <si>
    <t xml:space="preserve">Muito mais curto que os ~133 do original. Aqui o teto não é opcional: sem ele, o jogador f2p simplesmente não acessa counters.</t>
  </si>
  <si>
    <t xml:space="preserve">8 deuses / semana</t>
  </si>
  <si>
    <t xml:space="preserve">Liberados para todos. Reduz a barreira do novato E funciona como demonstração de venda. Copiado do que funciona em jogos de arena.</t>
  </si>
  <si>
    <t xml:space="preserve">Aluguel no ranqueado</t>
  </si>
  <si>
    <t xml:space="preserve">1 slot</t>
  </si>
  <si>
    <t xml:space="preserve">Alavanca opcional: o jogador pode alugar 1 deus que não possui em cada partida ranqueada. Mata o argumento de pay-to-win de raiz, ao custo de pressão de coleção.</t>
  </si>
  <si>
    <t xml:space="preserve">Cópias repetidas — o que fazer com elas</t>
  </si>
  <si>
    <t xml:space="preserve">Sua pergunta era se cópias devem subir habilidade. Não. Num jogo de 100 de HP, um Julgamento do Trovão de 25 contra um de 32 decide a partida — e pior, destrói a leitura. Em Naruto-Arena o valor exato de cada habilidade é conhecimento público compartilhado, e é isso que permite pensar 'ele está com 22, o Fenrir dele executa em 20, preciso curar 3'. Se o número varia por conta, essa camada inteira do jogo desaparece. Cópia repetida deve virar moeda:</t>
  </si>
  <si>
    <t xml:space="preserve">Cópia repetida vira</t>
  </si>
  <si>
    <t xml:space="preserve">Quantidade</t>
  </si>
  <si>
    <t xml:space="preserve">Serve para</t>
  </si>
  <si>
    <t xml:space="preserve">Essência de Louvor</t>
  </si>
  <si>
    <t xml:space="preserve">1 por cópia</t>
  </si>
  <si>
    <t xml:space="preserve">Moeda de loja. Compra fragmentos de um deus escolhido — o pity dirigido do jogador.</t>
  </si>
  <si>
    <t xml:space="preserve">Fragmento dirigido</t>
  </si>
  <si>
    <t xml:space="preserve">40 = 1 deus à escolha</t>
  </si>
  <si>
    <t xml:space="preserve">Transforma sorte ruim em progresso garantido. É o antídoto do gacha injusto.</t>
  </si>
  <si>
    <t xml:space="preserve">Pular Provação</t>
  </si>
  <si>
    <t xml:space="preserve">3 Essências</t>
  </si>
  <si>
    <t xml:space="preserve">Atalho para quem não quer resolver o puzzle de desbloqueio.</t>
  </si>
  <si>
    <t xml:space="preserve">Cosmético</t>
  </si>
  <si>
    <t xml:space="preserve">variável</t>
  </si>
  <si>
    <t xml:space="preserve">Skin, moldura, título, fala de vitória. 10 mitologias = catálogo enorme e culturalmente rico.</t>
  </si>
  <si>
    <t xml:space="preserve">Rota 2 — Provações (desbloqueio grátis, sem gate de rank)</t>
  </si>
  <si>
    <t xml:space="preserve">Você propôs liberar missões conforme o ranking do jogador. Isso cria retroalimentação na direção errada: rank mede vitória, então quem está perdendo é justamente quem fica sem acesso às ferramentas para competir, e quem já ganha recebe mais. O jogador travado no Bronze não fica lá por falta de habilidade — fica por falta de counters, e nunca sai, porque a porta de saída exige passar pela porta. É o mesmo defeito do unlock do Naruto-Arena original, com outra roupa. A Provação resolve sem esse custo:</t>
  </si>
  <si>
    <t xml:space="preserve">Propriedade</t>
  </si>
  <si>
    <t xml:space="preserve">Como é</t>
  </si>
  <si>
    <t xml:space="preserve">Por que importa</t>
  </si>
  <si>
    <t xml:space="preserve">Formato</t>
  </si>
  <si>
    <t xml:space="preserve">Puzzle de estado fixo</t>
  </si>
  <si>
    <t xml:space="preserve">Você recebe o deus EMPRESTADO num estado de jogo montado à mão (HP, orbes, recargas definidos) e tem que vencer cumprindo uma condição.</t>
  </si>
  <si>
    <t xml:space="preserve">Disponibilidade</t>
  </si>
  <si>
    <t xml:space="preserve">Sempre, para qualquer rank</t>
  </si>
  <si>
    <t xml:space="preserve">Sem gate de ranking. A dificuldade é o gate, e ela é a mesma para todos.</t>
  </si>
  <si>
    <t xml:space="preserve">Farmável?</t>
  </si>
  <si>
    <t xml:space="preserve">Não</t>
  </si>
  <si>
    <t xml:space="preserve">Puzzle resolvido é resolvido. Não existe repetição burra — o exploit de 'ganhar 10 fácil contra a CPU' simplesmente não se aplica.</t>
  </si>
  <si>
    <t xml:space="preserve">Efeito colateral</t>
  </si>
  <si>
    <t xml:space="preserve">Ensina o kit</t>
  </si>
  <si>
    <t xml:space="preserve">Quem desbloqueia Anúbis pela Provação já sabe pilotar Anúbis. Nenhuma missão de 'vença 10 partidas' consegue isso.</t>
  </si>
  <si>
    <t xml:space="preserve">Dificuldade</t>
  </si>
  <si>
    <t xml:space="preserve">Escala com a complexidade</t>
  </si>
  <si>
    <t xml:space="preserve">Kit A: puzzle de 3 turnos, solução quase única. Kit SS: 8 turnos, exige entender o contador do deus.</t>
  </si>
  <si>
    <t xml:space="preserve">Custo de produção</t>
  </si>
  <si>
    <t xml:space="preserve">Baixo</t>
  </si>
  <si>
    <t xml:space="preserve">Um puzzle é literalmente um estado serializado. O mesmo motor da partida roda tudo — dá para produzir em massa.</t>
  </si>
  <si>
    <t xml:space="preserve">Exemplos</t>
  </si>
  <si>
    <t xml:space="preserve">Anúbis: vença selando os 3 inimigos antes do turno 6. Xangô: absorva um nuke e devolva para matar. Shiva: vença SEM usar o Terceiro Olho.</t>
  </si>
  <si>
    <t xml:space="preserve">Onde o dinheiro entra, se o PvP é normalizado</t>
  </si>
  <si>
    <t xml:space="preserve">Fonte</t>
  </si>
  <si>
    <t xml:space="preserve">Vende</t>
  </si>
  <si>
    <t xml:space="preserve">acesso e opções</t>
  </si>
  <si>
    <t xml:space="preserve">Pick/ban gera pressão real de coleção: com 6 deuses bons você fica sem plano B quando os seus são banidos. Vende amplitude, não força.</t>
  </si>
  <si>
    <t xml:space="preserve">Cosméticos</t>
  </si>
  <si>
    <t xml:space="preserve">identidade</t>
  </si>
  <si>
    <t xml:space="preserve">Orixá, yokai, folclore brasileiro. Maior margem, zero impacto em balanceamento.</t>
  </si>
  <si>
    <t xml:space="preserve">Passe de temporada</t>
  </si>
  <si>
    <t xml:space="preserve">tempo</t>
  </si>
  <si>
    <t xml:space="preserve">Recompensa: Gema, Essência de Louvor, cosmético. Nunca vantagem de partida.</t>
  </si>
  <si>
    <t xml:space="preserve">Campanha / eventos PvE</t>
  </si>
  <si>
    <t xml:space="preserve">conteúdo</t>
  </si>
  <si>
    <t xml:space="preserve">Aqui a fantasia de poder é legítima, porque o oponente é a CPU. Se você quiser reintroduzir progressão em algum lugar, é aqui — e só aqui.</t>
  </si>
  <si>
    <t xml:space="preserve">Provações — regras do sistema (a lista está na aba 'Provações')</t>
  </si>
  <si>
    <t xml:space="preserve">Formato: você recebe o deus EMPRESTADO num estado de jogo montado à mão, com um time emprestado fixo (você não traz o seu roster) contra um time inimigo fixo. Vencer não basta — há uma condição que força você a usar a mecânica-assinatura daquele deus. Puzzle resolvido é resolvido: não existe repetição para farmar.</t>
  </si>
  <si>
    <t xml:space="preserve">Por que são difíceis de propósito — os cinco mecanismos:
1) O time inimigo é sempre o COUNTER do deus que você pilota. A Provação de Atena põe Ogum, Aquiles e Tyr, os três que atravessam escudo. A de Kagutsuchi põe três imunes a Queimadura. Você tem de ganhar sem o seu eixo principal.
2) Condição além da vitória: limite de turnos, não perder aliado, proibição de usar o Milagre, ou obrigação de matar por um método específico.
3) Time emprestado fixo: possuir 80 deuses não ajuda a resolver o puzzle. Coleção não é atalho.
4) Requisito de posse: 8 Ordálias exigem um deus específico ou N deuses. Essas você NÃO consegue de graça a frio — é aqui que a invocação acelera de verdade.
5) Portão de campanha: 14 Provações só abrem em capítulos avançados, o que espalha os desbloqueios no tempo.</t>
  </si>
  <si>
    <t xml:space="preserve">Dif. / qtd.</t>
  </si>
  <si>
    <t xml:space="preserve">O que exige</t>
  </si>
  <si>
    <t xml:space="preserve">1 · 24</t>
  </si>
  <si>
    <t xml:space="preserve">Uma restrição sozinha, ou um limite de turnos. O jogador competente resolve em 1 a 3 tentativas. São os kits mais simples — dá para o f2p montar uns 33 deuses (9 iniciais + 24 Ritos) só com habilidade.</t>
  </si>
  <si>
    <t xml:space="preserve">2 · 49</t>
  </si>
  <si>
    <t xml:space="preserve">Duas restrições empilhadas, ou um time inimigo construído para anular seu kit. Exige entender o deus, não só apertar botões. A maioria vai desbloquear algumas e invocar o resto.</t>
  </si>
  <si>
    <t xml:space="preserve">3 · 18</t>
  </si>
  <si>
    <t xml:space="preserve">Três restrições, ou requisito de posse, ou uma condição que só fecha com execução quase perfeita. São os kits mais complexos do jogo. A maioria nunca vai completar todas — e é isso que sustenta o gacha.</t>
  </si>
  <si>
    <t xml:space="preserve">Tentativas</t>
  </si>
  <si>
    <t xml:space="preserve">ilimitadas</t>
  </si>
  <si>
    <t xml:space="preserve">Sem cooldown entre falhas, sem custo de Energia. Punir a tentativa puniria o aprendizado, que é justamente o que a Provação existe para provocar.</t>
  </si>
  <si>
    <t xml:space="preserve">Time emprestado</t>
  </si>
  <si>
    <t xml:space="preserve">fixo por Provação</t>
  </si>
  <si>
    <t xml:space="preserve">Impede o veterano de brutalizar o desafio com o roster completo, e garante que a solução seja a mesma para todos — o que permite guias e comunidade.</t>
  </si>
  <si>
    <t xml:space="preserve">Orbes iniciais</t>
  </si>
  <si>
    <t xml:space="preserve">definidos pelo puzzle</t>
  </si>
  <si>
    <t xml:space="preserve">Algumas começam com 0 orbe (Hermes), outras com a mão cheia. É a alavanca de dificuldade mais barata que existe.</t>
  </si>
  <si>
    <t xml:space="preserve">Abre por</t>
  </si>
  <si>
    <t xml:space="preserve">capítulo de campanha</t>
  </si>
  <si>
    <t xml:space="preserve">NUNCA por rank. Rank mede vitória; travar ferramenta atrás de rank nega counters justamente a quem está perdendo, e o jogador nunca sai do fundo.</t>
  </si>
  <si>
    <t xml:space="preserve">Defesa do inimigo</t>
  </si>
  <si>
    <t xml:space="preserve">padrão fixo e visível</t>
  </si>
  <si>
    <t xml:space="preserve">O time inimigo também tem a Defesa universal, mas numa Provação a usa segundo um padrão determinístico declarado na tela. Puzzle resolvido por conhecimento exige adversário previsível — e é isso que torna as Provações de execução (Fenrir, Ammit, Morrigan, Iara) difíceis: você tem de gastar a janela de Invulnerabilidade dele primeiro.</t>
  </si>
  <si>
    <t xml:space="preserve">Conversão de orbe</t>
  </si>
  <si>
    <t xml:space="preserve">liberada</t>
  </si>
  <si>
    <t xml:space="preserve">A conversão 3→1 funciona normalmente. Várias Provações (Hermes, Inari, Shuten Dōji) só fecham com uso correto dela.</t>
  </si>
  <si>
    <t xml:space="preserve">Pular a Provação</t>
  </si>
  <si>
    <t xml:space="preserve">3 Essências de Louvor</t>
  </si>
  <si>
    <t xml:space="preserve">Cópia repetida do gacha vira Essência. Quem invoca muito compra a saída — é a ponte entre as duas rotas.</t>
  </si>
  <si>
    <t xml:space="preserve">Recompensa</t>
  </si>
  <si>
    <t xml:space="preserve">o deus + 1 cosmético</t>
  </si>
  <si>
    <t xml:space="preserve">Uma moldura exclusiva por Ordália completada. O veterano quer isso mais que o deus.</t>
  </si>
  <si>
    <t xml:space="preserve">Reaproveitamento</t>
  </si>
  <si>
    <t xml:space="preserve">Ordália Semanal</t>
  </si>
  <si>
    <t xml:space="preserve">Uma Provação antiga por semana com placar de menos turnos. Custo de produção zero, retenção alta.</t>
  </si>
  <si>
    <t xml:space="preserve">Conta de acesso: 9 iniciais + 24 Ritos = 33 deuses (33%) alcançáveis por habilidade sem gastar nada. As 49 Provações são o meio do caminho. As 18 Ordálias são o que mantém o gacha relevante — e ainda assim ninguém fica PERMANENTEMENTE trancado fora de um counter, que é o que importa num jogo competitivo.</t>
  </si>
  <si>
    <t xml:space="preserve">VIGILÂNCIA DE BALANCEAMENTO — o que provavelmente quebra</t>
  </si>
  <si>
    <t xml:space="preserve">Levantado lendo os 100 kits com a lente de 3v3 e 100 de HP. Metade já foi corrigida na conversão (marcado CORRIGIDO); a outra metade é risco que só o playtest resolve (VIGIAR).</t>
  </si>
  <si>
    <t xml:space="preserve">Quem / o quê</t>
  </si>
  <si>
    <t xml:space="preserve">O que foi feito / o que fazer</t>
  </si>
  <si>
    <t xml:space="preserve">Shiva — Terceiro Olho</t>
  </si>
  <si>
    <t xml:space="preserve">CORRIGIDO</t>
  </si>
  <si>
    <t xml:space="preserve">No original ignorava Defesa, escudos, imunidades E 'não cai abaixo de 1 HP'. Num jogo de 3 unidades isso apaga um terço do time sem counterplay possível — e invalida investir em qualquer defesa.</t>
  </si>
  <si>
    <t xml:space="preserve">Custo 4 orbes, recarga 5, UMA VEZ por partida, 45 de dano. Machuca muito, mas não mata do HP cheio, então o oponente tem uma janela para responder.</t>
  </si>
  <si>
    <t xml:space="preserve">Revives em massa</t>
  </si>
  <si>
    <t xml:space="preserve">Ísis revivia TODOS os caídos, mais Deméter, Osíris, Freyja, Bennu, Nezha, Wukong, Bastet. Se a vitória exige 3 quedas e existem 8 formas de desfazer queda, ninguém fecha partida.</t>
  </si>
  <si>
    <t xml:space="preserve">Ísis: uma vez por partida, recarga 5. Regra de formação recomendada: no máximo 1 deus com revive por time. Anti-revive existe em 6 kits como resposta desenhada (Cérberus, Ammit, Anúbis, Hel, Yan Wong, Iansã).</t>
  </si>
  <si>
    <t xml:space="preserve">Limiares de execução</t>
  </si>
  <si>
    <t xml:space="preserve">Original executava abaixo de 30–40%. Em 3v3 isso significa que 39 de HP é o mesmo que estar morto, e o jogo perde a fase mais interessante: gerenciar unidade ferida.</t>
  </si>
  <si>
    <t xml:space="preserve">Padronizado em 20–25 de HP. Nenhuma execução em área.</t>
  </si>
  <si>
    <t xml:space="preserve">RNG (crítico, evasão, '60% de chance')</t>
  </si>
  <si>
    <t xml:space="preserve">Havia crítico 5%, evasão até 25%, bloqueio 35% e dezenas de 'X% de chance'. Num jogo de turnos com 3 unidades, um stun de 60% que falha decide a partida e o jogador sente que perdeu para a moeda.</t>
  </si>
  <si>
    <t xml:space="preserve">Tudo convertido em determinístico. Ex.: Saci deixou de ter '+25% de evasão' e passou a ter 'o primeiro ataque de alvo único contra ele em cada turno falha'. Mesmo flavor, zero moeda.</t>
  </si>
  <si>
    <t xml:space="preserve">Raridade como poder</t>
  </si>
  <si>
    <t xml:space="preserve">Zeus 5★ tinha 1180 de HP e 302 de Atq.Mágico; Aquiles 3★ tinha 850 e 218 — cerca de 40% de diferença bruta.</t>
  </si>
  <si>
    <t xml:space="preserve">Todos com 100 de HP e dano na mesma faixa. Raridade agora é complexidade de kit.</t>
  </si>
  <si>
    <t xml:space="preserve">Exu — Padê</t>
  </si>
  <si>
    <t xml:space="preserve">VIGIAR</t>
  </si>
  <si>
    <t xml:space="preserve">Básico grátis que gera 1 orbe por turno, mais 'age primeiro em todos os turnos'. Economia positiva permanente é o efeito mais forte que existe num jogo de recurso.</t>
  </si>
  <si>
    <t xml:space="preserve">Deixado forte de propósito — é o arquétipo Kabuto do NA e provavelmente o primeiro banimento do meta. Se dominar, o corte é tornar a geração de orbe condicional (só se Exu não sofreu dano no turno).</t>
  </si>
  <si>
    <t xml:space="preserve">Curupira — Pés Virados</t>
  </si>
  <si>
    <t xml:space="preserve">Por 2 turnos, TODAS as habilidades de alvo único dos inimigos batem em aliados deles, com você escolhendo o alvo. Pode virar 2 turnos de partida jogados pelo oponente.</t>
  </si>
  <si>
    <t xml:space="preserve">Recarga 3. Se travar partidas, reduzir para 1 turno ou limitar a 1 inimigo.</t>
  </si>
  <si>
    <t xml:space="preserve">Ganesha + Huang Di + Itzamná</t>
  </si>
  <si>
    <t xml:space="preserve">Três motores de redução de recarga. Empilhados, aproximam o jogo de 'use o Milagre todo turno', o que colapsa a economia de tempo.</t>
  </si>
  <si>
    <t xml:space="preserve">Regra recomendada: nenhuma recarga pode cair abaixo de 1 turno, e reduções não empilham no mesmo turno.</t>
  </si>
  <si>
    <t xml:space="preserve">Sequências de área</t>
  </si>
  <si>
    <t xml:space="preserve">22 de dano em área × 3 unidades = 66 no time inimigo inteiro num turno. Dois Milagres de área seguidos podem virar 'aperte para ganhar'.</t>
  </si>
  <si>
    <t xml:space="preserve">Teto de 22 em área já aplicado. Se ainda assim decidir partidas, subir o custo do Milagre de área para 2 do elemento + 2 livres.</t>
  </si>
  <si>
    <t xml:space="preserve">Empilhamento permanente</t>
  </si>
  <si>
    <t xml:space="preserve">Brahma (Quatro Faces), Hércules (Doze Trabalhos), Shiva (Tandava) e Ogum crescem sem teto durante a partida. Favorecem estratégia de alongar o jogo até vencer por acúmulo.</t>
  </si>
  <si>
    <t xml:space="preserve">É o que justifica o empate técnico no turno 40. Considere teto explícito por efeito (ex.: Quatro Faces até +16).</t>
  </si>
  <si>
    <t xml:space="preserve">Prisão de controle</t>
  </si>
  <si>
    <t xml:space="preserve">Umbra tem 20+ deuses e é onde mora quase todo o controle. Um time só de Controladores Umbra pode nunca deixar o oponente jogar — a reclamação mais comum do Naruto-Arena.</t>
  </si>
  <si>
    <t xml:space="preserve">Ferramentas anti-controle já existem em Perseu, Loki, Ísis, Jörmungandr, Heimdall, Tyr, Ganesha, Bragi, Khonshu. Se não bastar, adote a regra: nenhuma unidade pode ser atordoada em 2 turnos consecutivos pela mesma fonte.</t>
  </si>
  <si>
    <t xml:space="preserve">Especialistas em Inalvejável</t>
  </si>
  <si>
    <t xml:space="preserve">Com a Defesa universal, Invulnerável (imune a tudo) fica estritamente melhor que o Inalvejável de Loki, Saci, Boto, Kitsune, Yamato Takeru, Kukulkán, Tanuki e Sun Wukong. O eixo defensivo deles deixou de ser exclusivo.</t>
  </si>
  <si>
    <t xml:space="preserve">Aposta: o valor desses oito nunca foi a esquiva, foi o RIDER — Loki redireciona o ataque, Saci rouba um buff, Yamato converte o próximo golpe em dano puro, Boto cura, Kukulkán mergulha depois. Se no playtest eles ficarem sem graça, a correção é dar duração 2 ao Inalvejável deles, não mexer na Defesa.</t>
  </si>
  <si>
    <t xml:space="preserve">Dano em área com a Defesa no jogo</t>
  </si>
  <si>
    <t xml:space="preserve">A rotação de Defesa (uma unidade protegida por turno) torna focar um alvo caro, o que empurra o meta para dano em área. O teto de 22 em área pode ficar alto demais nesse cenário.</t>
  </si>
  <si>
    <t xml:space="preserve">É por isso que a regra do DoT atravessar Invulnerabilidade existe: ela dá uma segunda resposta além da área. Se mesmo assim a área dominar, o corte é 18 no Milagre de área, não subir o custo.</t>
  </si>
  <si>
    <t xml:space="preserve">Execuções e a Defesa</t>
  </si>
  <si>
    <t xml:space="preserve">Um alvo em 20 de HP pode simplesmente se defender no turno em que você ia executá-lo. Isso enfraquece Fenrir, Hades, Morrigan, Lugh, Ammit e Iara.</t>
  </si>
  <si>
    <t xml:space="preserve">Considerado aceitável e até desejável: a execução passa a ser um teste de leitura (ele já gastou a Defesa? a recarga está pronta?) em vez de um botão automático. É mais jogo, não menos.</t>
  </si>
  <si>
    <t xml:space="preserve">Turnos de partida</t>
  </si>
  <si>
    <t xml:space="preserve">Defesa universal + conversão de orbe + cura + escudo empurram a duração média para cima. Partidas longas favorecem os kits de acúmulo permanente (Brahma, Hércules, Shiva, Kitsune, Ogum).</t>
  </si>
  <si>
    <t xml:space="preserve">O empate técnico no turno 40 é a rede de segurança. Se a média passar de 25 turnos no playtest, a alavanca mais limpa é subir a recarga da Defesa de 4 para 5.</t>
  </si>
  <si>
    <t xml:space="preserve">Sem pick/ban</t>
  </si>
  <si>
    <t xml:space="preserve">DECISÃO</t>
  </si>
  <si>
    <t xml:space="preserve">Com roster completo liberado e sem banimento, o meta converge para 6–9 deuses e o gacha perde razão de existir.</t>
  </si>
  <si>
    <t xml:space="preserve">Recomendação forte: draft com banimento alternado. Resolve balanceamento (o quebrado é banido), dá valor a deus de nicho como counter-pick, cria a camada estratégica que faltava no NA, e é a alavanca de monetização que não vende poder.</t>
  </si>
  <si>
    <t xml:space="preserve">BESTIÁRIO — só inimigos de PvE (não jogáveis)</t>
  </si>
  <si>
    <t xml:space="preserve">No original eram 2★ jogáveis usados como 'food' para ascensão. Sem progressão não existe food, então voltam ao papel de tropa da campanha e das Provações. HP abaixo de 100 para Comum e acima para Elite — aqui a assimetria é bem-vinda, porque o oponente é a CPU.</t>
  </si>
  <si>
    <t xml:space="preserve">Tier</t>
  </si>
  <si>
    <t xml:space="preserve">Papel</t>
  </si>
  <si>
    <t xml:space="preserve">HP</t>
  </si>
  <si>
    <t xml:space="preserve">Kit</t>
  </si>
  <si>
    <t xml:space="preserve">Servo de Cinzas</t>
  </si>
  <si>
    <t xml:space="preserve">Comum</t>
  </si>
  <si>
    <t xml:space="preserve">Básico: 12 de dano. Passiva: ao cair, explode causando 10 no aliado mais ferido do jogador.</t>
  </si>
  <si>
    <t xml:space="preserve">Autômato de Bronze</t>
  </si>
  <si>
    <t xml:space="preserve">Básico: 10 de dano. Habilidade (rec 2): Provoca todos por 1 turno + 15 de Defesa Destrutível.</t>
  </si>
  <si>
    <t xml:space="preserve">Elemental de Chama</t>
  </si>
  <si>
    <t xml:space="preserve">Básico: 10 + Queimadura (6/turno, 2 turnos). Habilidade (rec 2): 10 em 2 alvos + Queimadura.</t>
  </si>
  <si>
    <t xml:space="preserve">Náiade da Correnteza</t>
  </si>
  <si>
    <t xml:space="preserve">Básico: 8 + Encharcado. Habilidade (rec 3): cura 20 no aliado mais ferido.</t>
  </si>
  <si>
    <t xml:space="preserve">Silfo Uivante</t>
  </si>
  <si>
    <t xml:space="preserve">Básico: 10 de dano. Habilidade (rec 2): remove 1 orbe do jogador.</t>
  </si>
  <si>
    <t xml:space="preserve">Guardião do Bosque</t>
  </si>
  <si>
    <t xml:space="preserve">Básico: 10 de dano. Habilidade (rec 3): 1 herói não pode usar Habilidade por 1 turno + 15 de Def. Destrutível.</t>
  </si>
  <si>
    <t xml:space="preserve">Ghoul Faminto</t>
  </si>
  <si>
    <t xml:space="preserve">Básico: 12 (18 contra alvos abaixo de 40 de HP). Passiva: cura 6 do dano causado.</t>
  </si>
  <si>
    <t xml:space="preserve">Aparição Sussurrante</t>
  </si>
  <si>
    <t xml:space="preserve">Básico: 10 de dano. Habilidade (rec 3): Silencia 1 herói por 1 turno.</t>
  </si>
  <si>
    <t xml:space="preserve">Quimera</t>
  </si>
  <si>
    <t xml:space="preserve">Elite</t>
  </si>
  <si>
    <t xml:space="preserve">Básico: 3 golpes de 6. Habilidade (rec 2): 15 a todos + Queimadura. Passiva: imune a controle de alvo único.</t>
  </si>
  <si>
    <t xml:space="preserve">Golem Rúnico</t>
  </si>
  <si>
    <t xml:space="preserve">Básico: 14. Habilidade (rec 3): 25 de Def. Destrutível + Provoca todos + reflete 8 por 2 turnos. Passiva: 10 de redução contra Mágico.</t>
  </si>
  <si>
    <t xml:space="preserve">Vidente Corrompido</t>
  </si>
  <si>
    <t xml:space="preserve">Básico: 12. Habilidade (rec 3): atordoa 1 herói por 1 turno + o time causa 8 menos de dano por 2 turnos.</t>
  </si>
  <si>
    <t xml:space="preserve">Ceifador Errante</t>
  </si>
  <si>
    <t xml:space="preserve">Básico: 16. Habilidade (rec 2): 24 de dano, elimina abaixo de 20 de HP, cura 10. Passiva: criaturas aliadas +4 de dano.</t>
  </si>
  <si>
    <t xml:space="preserve">Chefes de campanha: use um deus do roster com o kit INTACTO, mas com 200 a 300 de HP e um aliado de tropa. Não invente mecânica nova de chefe — a graça é o jogador enfrentar o kit que ele mesmo poderá pilotar depois.</t>
  </si>
  <si>
    <t xml:space="preserve">DISTRIBUIÇÃO — checagem de cobertura (fórmulas ao vivo)</t>
  </si>
  <si>
    <t xml:space="preserve">Função por facção</t>
  </si>
  <si>
    <t xml:space="preserve">Total</t>
  </si>
  <si>
    <t xml:space="preserve">Elemento por função — cobertura de orbe</t>
  </si>
  <si>
    <t xml:space="preserve">Leitura: Umbra concentra o controle e Aurora concentra a defesa. Isso é um risco de meta, não um acidente — veja 'Prisão de controle' na aba Vigilância. Ao criar deus novo, prefira preencher as células menores.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</si>
</sst>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3B5A9B"/>
      </patternFill>
    </fill>
    <fill>
      <patternFill patternType="solid">
        <fgColor rgb="FF4472C4"/>
        <bgColor rgb="FF3B5A9B"/>
      </patternFill>
    </fill>
    <fill>
      <patternFill patternType="solid">
        <fgColor rgb="FFEDF2F9"/>
        <bgColor rgb="FFDEEBF7"/>
      </patternFill>
    </fill>
    <fill>
      <patternFill patternType="solid">
        <fgColor rgb="FFE2EFDA"/>
        <bgColor rgb="FFDDF0EA"/>
      </patternFill>
    </fill>
    <fill>
      <patternFill patternType="solid">
        <fgColor rgb="FF3B5A9B"/>
        <bgColor rgb="FF2F5597"/>
      </patternFill>
    </fill>
    <fill>
      <patternFill patternType="solid">
        <fgColor rgb="FFFFF2CC"/>
        <bgColor rgb="FFFCE9D9"/>
      </patternFill>
    </fill>
    <fill>
      <patternFill patternType="solid">
        <fgColor rgb="FFFCE4E4"/>
        <bgColor rgb="FFFBE4E4"/>
      </patternFill>
    </fill>
    <fill>
      <patternFill patternType="solid">
        <fgColor rgb="FFD9E2F3"/>
        <bgColor rgb="FFDEEBF7"/>
      </patternFill>
    </fill>
    <fill>
      <patternFill patternType="solid">
        <fgColor rgb="FFF2E5D5"/>
        <bgColor rgb="FFFCE9D9"/>
      </patternFill>
    </fill>
    <fill>
      <patternFill patternType="solid">
        <fgColor rgb="FFDEEBF7"/>
        <bgColor rgb="FFDDF0EA"/>
      </patternFill>
    </fill>
    <fill>
      <patternFill patternType="solid">
        <fgColor rgb="FFDDF0EA"/>
        <bgColor rgb="FFDEEBF7"/>
      </patternFill>
    </fill>
    <fill>
      <patternFill patternType="solid">
        <fgColor rgb="FFE9E1F5"/>
        <bgColor rgb="FFF7E6F0"/>
      </patternFill>
    </fill>
    <fill>
      <patternFill patternType="solid">
        <fgColor rgb="FFFBE4E4"/>
        <bgColor rgb="FFFCE4E4"/>
      </patternFill>
    </fill>
    <fill>
      <patternFill patternType="solid">
        <fgColor rgb="FFFCE9D9"/>
        <bgColor rgb="FFFCE4E4"/>
      </patternFill>
    </fill>
    <fill>
      <patternFill patternType="solid">
        <fgColor rgb="FFF7E6F0"/>
        <bgColor rgb="FFFB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F0EA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9E1F5"/>
          <bgColor rgb="FF000000"/>
        </patternFill>
      </fill>
    </dxf>
    <dxf>
      <fill>
        <patternFill patternType="solid">
          <fgColor rgb="FFF2E5D5"/>
          <bgColor rgb="FF000000"/>
        </patternFill>
      </fill>
    </dxf>
    <dxf>
      <fill>
        <patternFill patternType="solid">
          <fgColor rgb="FFF7E6F0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CE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F2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7E6F0"/>
      <rgbColor rgb="FF993366"/>
      <rgbColor rgb="FFFFF2CC"/>
      <rgbColor rgb="FFDDF0EA"/>
      <rgbColor rgb="FF660066"/>
      <rgbColor rgb="FFFF8080"/>
      <rgbColor rgb="FF3B5A9B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CE9D9"/>
      <rgbColor rgb="FFE9E1F5"/>
      <rgbColor rgb="FFFCE4E4"/>
      <rgbColor rgb="FFFBE4E4"/>
      <rgbColor rgb="FFF2E5D5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4"/>
  </cols>
  <sheetData>
    <row r="1" customFormat="false" ht="24" hidden="false" customHeight="true" outlineLevel="0" collapsed="false">
      <c r="A1" s="2" t="s">
        <v>0</v>
      </c>
      <c r="B1" s="2"/>
    </row>
    <row r="3" customFormat="false" ht="42" hidden="false" customHeight="true" outlineLevel="0" collapsed="false">
      <c r="A3" s="3" t="s">
        <v>1</v>
      </c>
      <c r="B3" s="4" t="s">
        <v>2</v>
      </c>
    </row>
    <row r="4" customFormat="false" ht="42" hidden="false" customHeight="true" outlineLevel="0" collapsed="false">
      <c r="A4" s="3" t="s">
        <v>3</v>
      </c>
      <c r="B4" s="4" t="s">
        <v>4</v>
      </c>
    </row>
    <row r="5" customFormat="false" ht="42" hidden="false" customHeight="true" outlineLevel="0" collapsed="false">
      <c r="A5" s="3" t="s">
        <v>5</v>
      </c>
      <c r="B5" s="4" t="s">
        <v>6</v>
      </c>
    </row>
    <row r="6" customFormat="false" ht="42" hidden="false" customHeight="true" outlineLevel="0" collapsed="false">
      <c r="A6" s="3" t="s">
        <v>7</v>
      </c>
      <c r="B6" s="4" t="s">
        <v>8</v>
      </c>
    </row>
    <row r="8" customFormat="false" ht="18" hidden="false" customHeight="true" outlineLevel="0" collapsed="false">
      <c r="A8" s="5" t="s">
        <v>9</v>
      </c>
      <c r="B8" s="5"/>
    </row>
    <row r="9" customFormat="false" ht="30" hidden="false" customHeight="true" outlineLevel="0" collapsed="false">
      <c r="A9" s="6" t="s">
        <v>10</v>
      </c>
      <c r="B9" s="6" t="s">
        <v>11</v>
      </c>
    </row>
    <row r="10" customFormat="false" ht="45.75" hidden="false" customHeight="true" outlineLevel="0" collapsed="false">
      <c r="A10" s="7" t="s">
        <v>12</v>
      </c>
      <c r="B10" s="7" t="s">
        <v>13</v>
      </c>
    </row>
    <row r="11" customFormat="false" ht="45.75" hidden="false" customHeight="true" outlineLevel="0" collapsed="false">
      <c r="A11" s="7" t="s">
        <v>14</v>
      </c>
      <c r="B11" s="7" t="s">
        <v>15</v>
      </c>
    </row>
    <row r="12" customFormat="false" ht="45.75" hidden="false" customHeight="true" outlineLevel="0" collapsed="false">
      <c r="A12" s="7" t="s">
        <v>16</v>
      </c>
      <c r="B12" s="7" t="s">
        <v>17</v>
      </c>
    </row>
    <row r="13" customFormat="false" ht="45.75" hidden="false" customHeight="true" outlineLevel="0" collapsed="false">
      <c r="A13" s="7" t="s">
        <v>18</v>
      </c>
      <c r="B13" s="7" t="s">
        <v>19</v>
      </c>
    </row>
    <row r="14" customFormat="false" ht="45.75" hidden="false" customHeight="true" outlineLevel="0" collapsed="false">
      <c r="A14" s="7" t="s">
        <v>20</v>
      </c>
      <c r="B14" s="7" t="s">
        <v>21</v>
      </c>
    </row>
    <row r="15" customFormat="false" ht="45.75" hidden="false" customHeight="true" outlineLevel="0" collapsed="false">
      <c r="A15" s="7" t="s">
        <v>22</v>
      </c>
      <c r="B15" s="7" t="s">
        <v>23</v>
      </c>
    </row>
    <row r="16" customFormat="false" ht="45.75" hidden="false" customHeight="true" outlineLevel="0" collapsed="false">
      <c r="A16" s="7" t="s">
        <v>24</v>
      </c>
      <c r="B16" s="7" t="s">
        <v>25</v>
      </c>
    </row>
    <row r="17" customFormat="false" ht="45.75" hidden="false" customHeight="true" outlineLevel="0" collapsed="false">
      <c r="A17" s="7" t="s">
        <v>26</v>
      </c>
      <c r="B17" s="7" t="s">
        <v>27</v>
      </c>
    </row>
    <row r="18" customFormat="false" ht="45.75" hidden="false" customHeight="true" outlineLevel="0" collapsed="false">
      <c r="A18" s="7" t="s">
        <v>28</v>
      </c>
      <c r="B18" s="7" t="s">
        <v>29</v>
      </c>
    </row>
    <row r="19" customFormat="false" ht="45.75" hidden="false" customHeight="true" outlineLevel="0" collapsed="false">
      <c r="A19" s="7" t="s">
        <v>30</v>
      </c>
      <c r="B19" s="7" t="s">
        <v>31</v>
      </c>
    </row>
    <row r="21" customFormat="false" ht="18" hidden="false" customHeight="true" outlineLevel="0" collapsed="false">
      <c r="A21" s="5" t="s">
        <v>32</v>
      </c>
      <c r="B21" s="5"/>
    </row>
    <row r="22" customFormat="false" ht="30" hidden="false" customHeight="true" outlineLevel="0" collapsed="false">
      <c r="A22" s="6" t="s">
        <v>33</v>
      </c>
      <c r="B22" s="6" t="s">
        <v>34</v>
      </c>
    </row>
    <row r="23" customFormat="false" ht="30" hidden="false" customHeight="true" outlineLevel="0" collapsed="false">
      <c r="A23" s="7" t="s">
        <v>35</v>
      </c>
      <c r="B23" s="7" t="s">
        <v>36</v>
      </c>
    </row>
    <row r="24" customFormat="false" ht="30" hidden="false" customHeight="true" outlineLevel="0" collapsed="false">
      <c r="A24" s="7" t="s">
        <v>37</v>
      </c>
      <c r="B24" s="7" t="s">
        <v>38</v>
      </c>
    </row>
    <row r="25" customFormat="false" ht="30" hidden="false" customHeight="true" outlineLevel="0" collapsed="false">
      <c r="A25" s="7" t="s">
        <v>39</v>
      </c>
      <c r="B25" s="7" t="s">
        <v>40</v>
      </c>
    </row>
    <row r="26" customFormat="false" ht="30" hidden="false" customHeight="true" outlineLevel="0" collapsed="false">
      <c r="A26" s="7" t="s">
        <v>41</v>
      </c>
      <c r="B26" s="7" t="s">
        <v>42</v>
      </c>
    </row>
    <row r="27" customFormat="false" ht="30" hidden="false" customHeight="true" outlineLevel="0" collapsed="false">
      <c r="A27" s="7" t="s">
        <v>43</v>
      </c>
      <c r="B27" s="7" t="s">
        <v>44</v>
      </c>
    </row>
    <row r="28" customFormat="false" ht="30" hidden="false" customHeight="true" outlineLevel="0" collapsed="false">
      <c r="A28" s="7" t="s">
        <v>45</v>
      </c>
      <c r="B28" s="7" t="s">
        <v>46</v>
      </c>
    </row>
    <row r="29" customFormat="false" ht="30" hidden="false" customHeight="true" outlineLevel="0" collapsed="false">
      <c r="A29" s="7" t="s">
        <v>47</v>
      </c>
      <c r="B29" s="7" t="s">
        <v>48</v>
      </c>
    </row>
    <row r="30" customFormat="false" ht="30" hidden="false" customHeight="true" outlineLevel="0" collapsed="false">
      <c r="A30" s="7" t="s">
        <v>49</v>
      </c>
      <c r="B30" s="7" t="s">
        <v>50</v>
      </c>
    </row>
    <row r="31" customFormat="false" ht="30" hidden="false" customHeight="true" outlineLevel="0" collapsed="false">
      <c r="A31" s="7" t="s">
        <v>51</v>
      </c>
      <c r="B31" s="7" t="s">
        <v>52</v>
      </c>
    </row>
    <row r="32" customFormat="false" ht="30" hidden="false" customHeight="true" outlineLevel="0" collapsed="false">
      <c r="A32" s="7" t="s">
        <v>53</v>
      </c>
      <c r="B32" s="7" t="s">
        <v>54</v>
      </c>
    </row>
    <row r="33" customFormat="false" ht="30" hidden="false" customHeight="true" outlineLevel="0" collapsed="false">
      <c r="A33" s="7" t="s">
        <v>55</v>
      </c>
      <c r="B33" s="7" t="s">
        <v>56</v>
      </c>
    </row>
  </sheetData>
  <mergeCells count="3">
    <mergeCell ref="A1:B1"/>
    <mergeCell ref="A8:B8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54"/>
    <col collapsed="false" customWidth="true" hidden="false" outlineLevel="0" max="5" min="5" style="0" width="20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24" hidden="false" customHeight="true" outlineLevel="0" collapsed="false">
      <c r="A1" s="2" t="s">
        <v>57</v>
      </c>
      <c r="B1" s="2"/>
      <c r="C1" s="2"/>
      <c r="D1" s="2"/>
      <c r="E1" s="2"/>
      <c r="F1" s="2"/>
      <c r="G1" s="2"/>
    </row>
    <row r="3" customFormat="false" ht="43.5" hidden="false" customHeight="true" outlineLevel="0" collapsed="false">
      <c r="A3" s="8" t="s">
        <v>58</v>
      </c>
      <c r="B3" s="8"/>
      <c r="C3" s="8"/>
      <c r="D3" s="8"/>
      <c r="E3" s="8"/>
      <c r="F3" s="8"/>
      <c r="G3" s="8"/>
    </row>
    <row r="5" customFormat="false" ht="18" hidden="false" customHeight="true" outlineLevel="0" collapsed="false">
      <c r="A5" s="5" t="s">
        <v>59</v>
      </c>
      <c r="B5" s="5"/>
      <c r="C5" s="5"/>
      <c r="D5" s="5"/>
      <c r="E5" s="5"/>
      <c r="F5" s="5"/>
      <c r="G5" s="5"/>
    </row>
    <row r="6" customFormat="false" ht="27.75" hidden="false" customHeight="true" outlineLevel="0" collapsed="false">
      <c r="A6" s="6"/>
      <c r="B6" s="6"/>
      <c r="C6" s="6" t="s">
        <v>60</v>
      </c>
      <c r="D6" s="6" t="s">
        <v>61</v>
      </c>
      <c r="E6" s="6"/>
      <c r="F6" s="6"/>
      <c r="G6" s="6"/>
    </row>
    <row r="7" customFormat="false" ht="39.75" hidden="false" customHeight="true" outlineLevel="0" collapsed="false">
      <c r="C7" s="9" t="s">
        <v>62</v>
      </c>
      <c r="D7" s="10" t="s">
        <v>63</v>
      </c>
      <c r="E7" s="10"/>
      <c r="F7" s="10"/>
      <c r="G7" s="10"/>
    </row>
    <row r="8" customFormat="false" ht="39.75" hidden="false" customHeight="true" outlineLevel="0" collapsed="false">
      <c r="C8" s="9" t="s">
        <v>64</v>
      </c>
      <c r="D8" s="10" t="s">
        <v>65</v>
      </c>
      <c r="E8" s="10"/>
      <c r="F8" s="10"/>
      <c r="G8" s="10"/>
    </row>
    <row r="9" customFormat="false" ht="39.75" hidden="false" customHeight="true" outlineLevel="0" collapsed="false">
      <c r="C9" s="9" t="s">
        <v>66</v>
      </c>
      <c r="D9" s="10" t="s">
        <v>67</v>
      </c>
      <c r="E9" s="10"/>
      <c r="F9" s="10"/>
      <c r="G9" s="10"/>
    </row>
    <row r="10" customFormat="false" ht="39.75" hidden="false" customHeight="true" outlineLevel="0" collapsed="false">
      <c r="C10" s="9" t="s">
        <v>68</v>
      </c>
      <c r="D10" s="10" t="s">
        <v>69</v>
      </c>
      <c r="E10" s="10"/>
      <c r="F10" s="10"/>
      <c r="G10" s="10"/>
    </row>
    <row r="11" customFormat="false" ht="39.75" hidden="false" customHeight="true" outlineLevel="0" collapsed="false">
      <c r="C11" s="9" t="s">
        <v>70</v>
      </c>
      <c r="D11" s="10" t="s">
        <v>71</v>
      </c>
      <c r="E11" s="10"/>
      <c r="F11" s="10"/>
      <c r="G11" s="10"/>
    </row>
    <row r="13" customFormat="false" ht="18" hidden="false" customHeight="true" outlineLevel="0" collapsed="false">
      <c r="A13" s="5" t="s">
        <v>72</v>
      </c>
      <c r="B13" s="5"/>
      <c r="C13" s="5"/>
      <c r="D13" s="5"/>
      <c r="E13" s="5"/>
      <c r="F13" s="5"/>
      <c r="G13" s="5"/>
    </row>
    <row r="14" customFormat="false" ht="27.75" hidden="false" customHeight="true" outlineLevel="0" collapsed="false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6" t="s">
        <v>79</v>
      </c>
    </row>
    <row r="15" customFormat="false" ht="18" hidden="false" customHeight="true" outlineLevel="0" collapsed="false">
      <c r="A15" s="11" t="s">
        <v>80</v>
      </c>
      <c r="B15" s="11"/>
      <c r="C15" s="11"/>
      <c r="D15" s="11"/>
      <c r="E15" s="11"/>
      <c r="F15" s="11"/>
      <c r="G15" s="11"/>
    </row>
    <row r="16" customFormat="false" ht="66" hidden="false" customHeight="true" outlineLevel="0" collapsed="false">
      <c r="A16" s="12" t="n">
        <v>1</v>
      </c>
      <c r="B16" s="12" t="s">
        <v>81</v>
      </c>
      <c r="C16" s="13" t="s">
        <v>82</v>
      </c>
      <c r="D16" s="14" t="s">
        <v>83</v>
      </c>
      <c r="E16" s="14" t="s">
        <v>84</v>
      </c>
      <c r="F16" s="14" t="s">
        <v>85</v>
      </c>
      <c r="G16" s="15" t="s">
        <v>86</v>
      </c>
    </row>
    <row r="17" customFormat="false" ht="66" hidden="false" customHeight="true" outlineLevel="0" collapsed="false">
      <c r="A17" s="12" t="n">
        <v>2</v>
      </c>
      <c r="B17" s="12" t="s">
        <v>81</v>
      </c>
      <c r="C17" s="13" t="s">
        <v>87</v>
      </c>
      <c r="D17" s="14" t="s">
        <v>88</v>
      </c>
      <c r="E17" s="14" t="s">
        <v>89</v>
      </c>
      <c r="F17" s="14" t="s">
        <v>90</v>
      </c>
      <c r="G17" s="15" t="s">
        <v>86</v>
      </c>
    </row>
    <row r="18" customFormat="false" ht="66" hidden="false" customHeight="true" outlineLevel="0" collapsed="false">
      <c r="A18" s="12" t="n">
        <v>3</v>
      </c>
      <c r="B18" s="12" t="s">
        <v>81</v>
      </c>
      <c r="C18" s="13" t="s">
        <v>91</v>
      </c>
      <c r="D18" s="14" t="s">
        <v>92</v>
      </c>
      <c r="E18" s="14" t="s">
        <v>93</v>
      </c>
      <c r="F18" s="14" t="s">
        <v>94</v>
      </c>
      <c r="G18" s="15" t="s">
        <v>86</v>
      </c>
    </row>
    <row r="20" customFormat="false" ht="18" hidden="false" customHeight="true" outlineLevel="0" collapsed="false">
      <c r="A20" s="11" t="s">
        <v>95</v>
      </c>
      <c r="B20" s="11"/>
      <c r="C20" s="11"/>
      <c r="D20" s="11"/>
      <c r="E20" s="11"/>
      <c r="F20" s="11"/>
      <c r="G20" s="11"/>
    </row>
    <row r="21" customFormat="false" ht="66" hidden="false" customHeight="true" outlineLevel="0" collapsed="false">
      <c r="A21" s="16" t="n">
        <v>4</v>
      </c>
      <c r="B21" s="16" t="s">
        <v>96</v>
      </c>
      <c r="C21" s="17" t="s">
        <v>97</v>
      </c>
      <c r="D21" s="7" t="s">
        <v>98</v>
      </c>
      <c r="E21" s="7" t="s">
        <v>99</v>
      </c>
      <c r="F21" s="7" t="s">
        <v>100</v>
      </c>
      <c r="G21" s="18" t="s">
        <v>86</v>
      </c>
    </row>
    <row r="22" customFormat="false" ht="66" hidden="false" customHeight="true" outlineLevel="0" collapsed="false">
      <c r="A22" s="16" t="n">
        <v>5</v>
      </c>
      <c r="B22" s="16" t="s">
        <v>96</v>
      </c>
      <c r="C22" s="17" t="s">
        <v>101</v>
      </c>
      <c r="D22" s="7" t="s">
        <v>102</v>
      </c>
      <c r="E22" s="7" t="s">
        <v>99</v>
      </c>
      <c r="F22" s="7" t="s">
        <v>103</v>
      </c>
      <c r="G22" s="18" t="s">
        <v>86</v>
      </c>
    </row>
    <row r="23" customFormat="false" ht="51.75" hidden="false" customHeight="true" outlineLevel="0" collapsed="false">
      <c r="A23" s="16" t="n">
        <v>6</v>
      </c>
      <c r="B23" s="16" t="s">
        <v>96</v>
      </c>
      <c r="C23" s="17" t="s">
        <v>104</v>
      </c>
      <c r="D23" s="7" t="s">
        <v>105</v>
      </c>
      <c r="E23" s="7" t="s">
        <v>106</v>
      </c>
      <c r="F23" s="7" t="s">
        <v>107</v>
      </c>
      <c r="G23" s="18" t="s">
        <v>86</v>
      </c>
    </row>
    <row r="24" customFormat="false" ht="66" hidden="false" customHeight="true" outlineLevel="0" collapsed="false">
      <c r="A24" s="16" t="n">
        <v>7</v>
      </c>
      <c r="B24" s="16" t="s">
        <v>96</v>
      </c>
      <c r="C24" s="17" t="s">
        <v>108</v>
      </c>
      <c r="D24" s="7" t="s">
        <v>109</v>
      </c>
      <c r="E24" s="7" t="s">
        <v>110</v>
      </c>
      <c r="F24" s="7" t="s">
        <v>111</v>
      </c>
      <c r="G24" s="18" t="s">
        <v>86</v>
      </c>
    </row>
    <row r="25" customFormat="false" ht="51.75" hidden="false" customHeight="true" outlineLevel="0" collapsed="false">
      <c r="A25" s="16" t="n">
        <v>8</v>
      </c>
      <c r="B25" s="16" t="s">
        <v>96</v>
      </c>
      <c r="C25" s="17" t="s">
        <v>112</v>
      </c>
      <c r="D25" s="7" t="s">
        <v>113</v>
      </c>
      <c r="E25" s="7" t="s">
        <v>114</v>
      </c>
      <c r="F25" s="7" t="s">
        <v>115</v>
      </c>
      <c r="G25" s="18" t="s">
        <v>86</v>
      </c>
    </row>
    <row r="26" customFormat="false" ht="51.75" hidden="false" customHeight="true" outlineLevel="0" collapsed="false">
      <c r="A26" s="16" t="n">
        <v>9</v>
      </c>
      <c r="B26" s="16" t="s">
        <v>96</v>
      </c>
      <c r="C26" s="17" t="s">
        <v>116</v>
      </c>
      <c r="D26" s="7" t="s">
        <v>117</v>
      </c>
      <c r="E26" s="7" t="s">
        <v>93</v>
      </c>
      <c r="F26" s="7" t="s">
        <v>118</v>
      </c>
      <c r="G26" s="18" t="s">
        <v>86</v>
      </c>
    </row>
    <row r="28" customFormat="false" ht="18" hidden="false" customHeight="true" outlineLevel="0" collapsed="false">
      <c r="A28" s="11" t="s">
        <v>119</v>
      </c>
      <c r="B28" s="11"/>
      <c r="C28" s="11"/>
      <c r="D28" s="11"/>
      <c r="E28" s="11"/>
      <c r="F28" s="11"/>
      <c r="G28" s="11"/>
    </row>
    <row r="29" customFormat="false" ht="66" hidden="false" customHeight="true" outlineLevel="0" collapsed="false">
      <c r="A29" s="16" t="n">
        <v>10</v>
      </c>
      <c r="B29" s="16" t="s">
        <v>120</v>
      </c>
      <c r="C29" s="17" t="s">
        <v>121</v>
      </c>
      <c r="D29" s="7" t="s">
        <v>122</v>
      </c>
      <c r="E29" s="7" t="s">
        <v>123</v>
      </c>
      <c r="F29" s="7" t="s">
        <v>124</v>
      </c>
      <c r="G29" s="18" t="s">
        <v>86</v>
      </c>
    </row>
    <row r="30" customFormat="false" ht="51.75" hidden="false" customHeight="true" outlineLevel="0" collapsed="false">
      <c r="A30" s="16" t="n">
        <v>11</v>
      </c>
      <c r="B30" s="16" t="s">
        <v>120</v>
      </c>
      <c r="C30" s="17" t="s">
        <v>125</v>
      </c>
      <c r="D30" s="7" t="s">
        <v>126</v>
      </c>
      <c r="E30" s="7" t="s">
        <v>127</v>
      </c>
      <c r="F30" s="7" t="s">
        <v>128</v>
      </c>
      <c r="G30" s="18" t="s">
        <v>86</v>
      </c>
    </row>
    <row r="32" customFormat="false" ht="18" hidden="false" customHeight="true" outlineLevel="0" collapsed="false">
      <c r="A32" s="11" t="s">
        <v>129</v>
      </c>
      <c r="B32" s="11"/>
      <c r="C32" s="11"/>
      <c r="D32" s="11"/>
      <c r="E32" s="11"/>
      <c r="F32" s="11"/>
      <c r="G32" s="11"/>
    </row>
    <row r="33" customFormat="false" ht="51.75" hidden="false" customHeight="true" outlineLevel="0" collapsed="false">
      <c r="A33" s="16" t="n">
        <v>12</v>
      </c>
      <c r="B33" s="16" t="s">
        <v>130</v>
      </c>
      <c r="C33" s="17" t="s">
        <v>131</v>
      </c>
      <c r="D33" s="7" t="s">
        <v>132</v>
      </c>
      <c r="E33" s="7" t="s">
        <v>123</v>
      </c>
      <c r="F33" s="7" t="s">
        <v>133</v>
      </c>
      <c r="G33" s="18" t="s">
        <v>86</v>
      </c>
    </row>
    <row r="34" customFormat="false" ht="51.75" hidden="false" customHeight="true" outlineLevel="0" collapsed="false">
      <c r="A34" s="16" t="n">
        <v>13</v>
      </c>
      <c r="B34" s="16" t="s">
        <v>130</v>
      </c>
      <c r="C34" s="17" t="s">
        <v>134</v>
      </c>
      <c r="D34" s="7" t="s">
        <v>135</v>
      </c>
      <c r="E34" s="7" t="s">
        <v>136</v>
      </c>
      <c r="F34" s="7" t="s">
        <v>137</v>
      </c>
      <c r="G34" s="18" t="s">
        <v>86</v>
      </c>
    </row>
    <row r="35" customFormat="false" ht="51.75" hidden="false" customHeight="true" outlineLevel="0" collapsed="false">
      <c r="A35" s="16" t="n">
        <v>14</v>
      </c>
      <c r="B35" s="16" t="s">
        <v>130</v>
      </c>
      <c r="C35" s="17" t="s">
        <v>138</v>
      </c>
      <c r="D35" s="7" t="s">
        <v>139</v>
      </c>
      <c r="E35" s="7" t="s">
        <v>127</v>
      </c>
      <c r="F35" s="7" t="s">
        <v>140</v>
      </c>
      <c r="G35" s="18" t="s">
        <v>86</v>
      </c>
    </row>
    <row r="36" customFormat="false" ht="51.75" hidden="false" customHeight="true" outlineLevel="0" collapsed="false">
      <c r="A36" s="16" t="n">
        <v>15</v>
      </c>
      <c r="B36" s="16" t="s">
        <v>130</v>
      </c>
      <c r="C36" s="17" t="s">
        <v>141</v>
      </c>
      <c r="D36" s="7" t="s">
        <v>142</v>
      </c>
      <c r="E36" s="7" t="s">
        <v>143</v>
      </c>
      <c r="F36" s="7" t="s">
        <v>144</v>
      </c>
      <c r="G36" s="18" t="s">
        <v>86</v>
      </c>
    </row>
    <row r="37" customFormat="false" ht="51.75" hidden="false" customHeight="true" outlineLevel="0" collapsed="false">
      <c r="A37" s="19" t="n">
        <v>16</v>
      </c>
      <c r="B37" s="19" t="s">
        <v>130</v>
      </c>
      <c r="C37" s="20" t="s">
        <v>145</v>
      </c>
      <c r="D37" s="21" t="s">
        <v>146</v>
      </c>
      <c r="E37" s="21" t="s">
        <v>147</v>
      </c>
      <c r="F37" s="21" t="s">
        <v>148</v>
      </c>
      <c r="G37" s="22" t="s">
        <v>86</v>
      </c>
    </row>
    <row r="39" customFormat="false" ht="18" hidden="false" customHeight="true" outlineLevel="0" collapsed="false">
      <c r="A39" s="11" t="s">
        <v>149</v>
      </c>
      <c r="B39" s="11"/>
      <c r="C39" s="11"/>
      <c r="D39" s="11"/>
      <c r="E39" s="11"/>
      <c r="F39" s="11"/>
      <c r="G39" s="11"/>
    </row>
    <row r="40" customFormat="false" ht="51.75" hidden="false" customHeight="true" outlineLevel="0" collapsed="false">
      <c r="A40" s="16" t="n">
        <v>17</v>
      </c>
      <c r="B40" s="16" t="s">
        <v>150</v>
      </c>
      <c r="C40" s="17" t="s">
        <v>151</v>
      </c>
      <c r="D40" s="7" t="s">
        <v>152</v>
      </c>
      <c r="E40" s="7" t="s">
        <v>153</v>
      </c>
      <c r="F40" s="7"/>
      <c r="G40" s="18" t="s">
        <v>86</v>
      </c>
    </row>
    <row r="41" customFormat="false" ht="51.75" hidden="false" customHeight="true" outlineLevel="0" collapsed="false">
      <c r="A41" s="16" t="n">
        <v>18</v>
      </c>
      <c r="B41" s="16" t="s">
        <v>150</v>
      </c>
      <c r="C41" s="17" t="s">
        <v>154</v>
      </c>
      <c r="D41" s="7" t="s">
        <v>155</v>
      </c>
      <c r="E41" s="7" t="s">
        <v>156</v>
      </c>
      <c r="F41" s="7" t="s">
        <v>157</v>
      </c>
      <c r="G41" s="18" t="s">
        <v>86</v>
      </c>
    </row>
    <row r="42" customFormat="false" ht="51.75" hidden="false" customHeight="true" outlineLevel="0" collapsed="false">
      <c r="A42" s="16" t="n">
        <v>19</v>
      </c>
      <c r="B42" s="16" t="s">
        <v>150</v>
      </c>
      <c r="C42" s="17" t="s">
        <v>158</v>
      </c>
      <c r="D42" s="7" t="s">
        <v>159</v>
      </c>
      <c r="E42" s="7" t="s">
        <v>160</v>
      </c>
      <c r="F42" s="7" t="s">
        <v>161</v>
      </c>
      <c r="G42" s="18" t="s">
        <v>86</v>
      </c>
    </row>
    <row r="43" customFormat="false" ht="66" hidden="false" customHeight="true" outlineLevel="0" collapsed="false">
      <c r="A43" s="16" t="n">
        <v>20</v>
      </c>
      <c r="B43" s="16" t="s">
        <v>150</v>
      </c>
      <c r="C43" s="17" t="s">
        <v>162</v>
      </c>
      <c r="D43" s="7" t="s">
        <v>163</v>
      </c>
      <c r="E43" s="7" t="s">
        <v>160</v>
      </c>
      <c r="F43" s="7" t="s">
        <v>164</v>
      </c>
      <c r="G43" s="18" t="s">
        <v>86</v>
      </c>
    </row>
    <row r="44" customFormat="false" ht="51.75" hidden="false" customHeight="true" outlineLevel="0" collapsed="false">
      <c r="A44" s="16" t="n">
        <v>21</v>
      </c>
      <c r="B44" s="16" t="s">
        <v>150</v>
      </c>
      <c r="C44" s="17" t="s">
        <v>165</v>
      </c>
      <c r="D44" s="7" t="s">
        <v>166</v>
      </c>
      <c r="E44" s="7" t="s">
        <v>167</v>
      </c>
      <c r="F44" s="7"/>
      <c r="G44" s="18" t="s">
        <v>86</v>
      </c>
    </row>
    <row r="45" customFormat="false" ht="51.75" hidden="false" customHeight="true" outlineLevel="0" collapsed="false">
      <c r="A45" s="16" t="n">
        <v>22</v>
      </c>
      <c r="B45" s="16" t="s">
        <v>150</v>
      </c>
      <c r="C45" s="17" t="s">
        <v>168</v>
      </c>
      <c r="D45" s="7" t="s">
        <v>169</v>
      </c>
      <c r="E45" s="7" t="s">
        <v>160</v>
      </c>
      <c r="F45" s="7" t="s">
        <v>170</v>
      </c>
      <c r="G45" s="18" t="s">
        <v>86</v>
      </c>
    </row>
    <row r="47" customFormat="false" ht="18" hidden="false" customHeight="true" outlineLevel="0" collapsed="false">
      <c r="A47" s="11" t="s">
        <v>171</v>
      </c>
      <c r="B47" s="11"/>
      <c r="C47" s="11"/>
      <c r="D47" s="11"/>
      <c r="E47" s="11"/>
      <c r="F47" s="11"/>
      <c r="G47" s="11"/>
    </row>
    <row r="48" customFormat="false" ht="51.75" hidden="false" customHeight="true" outlineLevel="0" collapsed="false">
      <c r="A48" s="16" t="n">
        <v>23</v>
      </c>
      <c r="B48" s="16" t="s">
        <v>172</v>
      </c>
      <c r="C48" s="17" t="s">
        <v>173</v>
      </c>
      <c r="D48" s="7" t="s">
        <v>174</v>
      </c>
      <c r="E48" s="7" t="s">
        <v>160</v>
      </c>
      <c r="F48" s="7" t="s">
        <v>175</v>
      </c>
      <c r="G48" s="18" t="s">
        <v>86</v>
      </c>
    </row>
    <row r="49" customFormat="false" ht="51.75" hidden="false" customHeight="true" outlineLevel="0" collapsed="false">
      <c r="A49" s="16" t="n">
        <v>24</v>
      </c>
      <c r="B49" s="16" t="s">
        <v>172</v>
      </c>
      <c r="C49" s="17" t="s">
        <v>176</v>
      </c>
      <c r="D49" s="7" t="s">
        <v>177</v>
      </c>
      <c r="E49" s="7" t="s">
        <v>178</v>
      </c>
      <c r="F49" s="7"/>
      <c r="G49" s="18" t="s">
        <v>86</v>
      </c>
    </row>
    <row r="50" customFormat="false" ht="51.75" hidden="false" customHeight="true" outlineLevel="0" collapsed="false">
      <c r="A50" s="16" t="n">
        <v>25</v>
      </c>
      <c r="B50" s="16" t="s">
        <v>172</v>
      </c>
      <c r="C50" s="17" t="s">
        <v>179</v>
      </c>
      <c r="D50" s="7" t="s">
        <v>180</v>
      </c>
      <c r="E50" s="7" t="s">
        <v>181</v>
      </c>
      <c r="F50" s="7" t="s">
        <v>182</v>
      </c>
      <c r="G50" s="18" t="s">
        <v>86</v>
      </c>
    </row>
    <row r="51" customFormat="false" ht="51.75" hidden="false" customHeight="true" outlineLevel="0" collapsed="false">
      <c r="A51" s="16" t="n">
        <v>26</v>
      </c>
      <c r="B51" s="16" t="s">
        <v>172</v>
      </c>
      <c r="C51" s="17" t="s">
        <v>183</v>
      </c>
      <c r="D51" s="7" t="s">
        <v>184</v>
      </c>
      <c r="E51" s="7" t="s">
        <v>178</v>
      </c>
      <c r="F51" s="7" t="s">
        <v>185</v>
      </c>
      <c r="G51" s="18" t="s">
        <v>86</v>
      </c>
    </row>
    <row r="53" customFormat="false" ht="18" hidden="false" customHeight="true" outlineLevel="0" collapsed="false">
      <c r="A53" s="11" t="s">
        <v>186</v>
      </c>
      <c r="B53" s="11"/>
      <c r="C53" s="11"/>
      <c r="D53" s="11"/>
      <c r="E53" s="11"/>
      <c r="F53" s="11"/>
      <c r="G53" s="11"/>
    </row>
    <row r="54" customFormat="false" ht="51.75" hidden="false" customHeight="true" outlineLevel="0" collapsed="false">
      <c r="A54" s="16" t="n">
        <v>27</v>
      </c>
      <c r="B54" s="16" t="s">
        <v>187</v>
      </c>
      <c r="C54" s="17" t="s">
        <v>188</v>
      </c>
      <c r="D54" s="7" t="s">
        <v>189</v>
      </c>
      <c r="E54" s="7" t="s">
        <v>190</v>
      </c>
      <c r="F54" s="7"/>
      <c r="G54" s="18" t="s">
        <v>86</v>
      </c>
    </row>
    <row r="55" customFormat="false" ht="51.75" hidden="false" customHeight="true" outlineLevel="0" collapsed="false">
      <c r="A55" s="16" t="n">
        <v>28</v>
      </c>
      <c r="B55" s="16" t="s">
        <v>187</v>
      </c>
      <c r="C55" s="17" t="s">
        <v>191</v>
      </c>
      <c r="D55" s="7" t="s">
        <v>192</v>
      </c>
      <c r="E55" s="7" t="s">
        <v>193</v>
      </c>
      <c r="F55" s="7"/>
      <c r="G55" s="18" t="s">
        <v>86</v>
      </c>
    </row>
    <row r="56" customFormat="false" ht="51.75" hidden="false" customHeight="true" outlineLevel="0" collapsed="false">
      <c r="A56" s="16" t="n">
        <v>29</v>
      </c>
      <c r="B56" s="16" t="s">
        <v>187</v>
      </c>
      <c r="C56" s="17" t="s">
        <v>194</v>
      </c>
      <c r="D56" s="7" t="s">
        <v>195</v>
      </c>
      <c r="E56" s="7" t="s">
        <v>181</v>
      </c>
      <c r="F56" s="7"/>
      <c r="G56" s="18" t="s">
        <v>86</v>
      </c>
    </row>
    <row r="58" customFormat="false" ht="18" hidden="false" customHeight="true" outlineLevel="0" collapsed="false">
      <c r="A58" s="5" t="s">
        <v>196</v>
      </c>
      <c r="B58" s="5"/>
      <c r="C58" s="5"/>
      <c r="D58" s="5"/>
      <c r="E58" s="5"/>
      <c r="F58" s="5"/>
      <c r="G58" s="5"/>
    </row>
    <row r="59" customFormat="false" ht="27.75" hidden="false" customHeight="true" outlineLevel="0" collapsed="false">
      <c r="A59" s="6"/>
      <c r="B59" s="6"/>
      <c r="C59" s="6" t="s">
        <v>197</v>
      </c>
      <c r="D59" s="6" t="s">
        <v>198</v>
      </c>
      <c r="E59" s="6"/>
      <c r="F59" s="6" t="s">
        <v>199</v>
      </c>
      <c r="G59" s="6"/>
    </row>
    <row r="60" customFormat="false" ht="48" hidden="false" customHeight="true" outlineLevel="0" collapsed="false">
      <c r="C60" s="20" t="s">
        <v>200</v>
      </c>
      <c r="D60" s="23" t="s">
        <v>201</v>
      </c>
      <c r="E60" s="23"/>
      <c r="F60" s="23" t="s">
        <v>202</v>
      </c>
      <c r="G60" s="23"/>
    </row>
    <row r="61" customFormat="false" ht="48" hidden="false" customHeight="true" outlineLevel="0" collapsed="false">
      <c r="C61" s="20" t="s">
        <v>203</v>
      </c>
      <c r="D61" s="23" t="s">
        <v>204</v>
      </c>
      <c r="E61" s="23"/>
      <c r="F61" s="23" t="s">
        <v>205</v>
      </c>
      <c r="G61" s="23"/>
    </row>
    <row r="62" customFormat="false" ht="48" hidden="false" customHeight="true" outlineLevel="0" collapsed="false">
      <c r="C62" s="20" t="s">
        <v>206</v>
      </c>
      <c r="D62" s="23" t="s">
        <v>207</v>
      </c>
      <c r="E62" s="23"/>
      <c r="F62" s="23" t="s">
        <v>208</v>
      </c>
      <c r="G62" s="23"/>
    </row>
    <row r="63" customFormat="false" ht="48" hidden="false" customHeight="true" outlineLevel="0" collapsed="false">
      <c r="C63" s="20" t="s">
        <v>209</v>
      </c>
      <c r="D63" s="23" t="s">
        <v>210</v>
      </c>
      <c r="E63" s="23"/>
      <c r="F63" s="23" t="s">
        <v>211</v>
      </c>
      <c r="G63" s="23"/>
    </row>
    <row r="64" customFormat="false" ht="48" hidden="false" customHeight="true" outlineLevel="0" collapsed="false">
      <c r="C64" s="20" t="s">
        <v>212</v>
      </c>
      <c r="D64" s="23" t="s">
        <v>213</v>
      </c>
      <c r="E64" s="23"/>
      <c r="F64" s="23" t="s">
        <v>214</v>
      </c>
      <c r="G64" s="23"/>
    </row>
    <row r="65" customFormat="false" ht="48" hidden="false" customHeight="true" outlineLevel="0" collapsed="false">
      <c r="C65" s="20" t="s">
        <v>215</v>
      </c>
      <c r="D65" s="23" t="s">
        <v>216</v>
      </c>
      <c r="E65" s="23"/>
      <c r="F65" s="23" t="s">
        <v>217</v>
      </c>
      <c r="G65" s="23"/>
    </row>
    <row r="67" customFormat="false" ht="31.5" hidden="false" customHeight="true" outlineLevel="0" collapsed="false">
      <c r="A67" s="24" t="s">
        <v>218</v>
      </c>
      <c r="B67" s="24"/>
      <c r="C67" s="24"/>
      <c r="D67" s="24"/>
      <c r="E67" s="24"/>
      <c r="F67" s="24"/>
      <c r="G67" s="24"/>
    </row>
  </sheetData>
  <mergeCells count="30">
    <mergeCell ref="A1:G1"/>
    <mergeCell ref="A3:G3"/>
    <mergeCell ref="A5:G5"/>
    <mergeCell ref="D7:G7"/>
    <mergeCell ref="D8:G8"/>
    <mergeCell ref="D9:G9"/>
    <mergeCell ref="D10:G10"/>
    <mergeCell ref="D11:G11"/>
    <mergeCell ref="A13:G13"/>
    <mergeCell ref="A15:G15"/>
    <mergeCell ref="A20:G20"/>
    <mergeCell ref="A28:G28"/>
    <mergeCell ref="A32:G32"/>
    <mergeCell ref="A39:G39"/>
    <mergeCell ref="A47:G47"/>
    <mergeCell ref="A53:G53"/>
    <mergeCell ref="A58:G58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92"/>
  </cols>
  <sheetData>
    <row r="1" customFormat="false" ht="24" hidden="false" customHeight="true" outlineLevel="0" collapsed="false">
      <c r="A1" s="2" t="s">
        <v>219</v>
      </c>
      <c r="B1" s="2"/>
      <c r="C1" s="2"/>
    </row>
    <row r="3" customFormat="false" ht="18" hidden="false" customHeight="true" outlineLevel="0" collapsed="false">
      <c r="A3" s="5" t="s">
        <v>220</v>
      </c>
      <c r="B3" s="5"/>
      <c r="C3" s="5"/>
    </row>
    <row r="4" customFormat="false" ht="30" hidden="false" customHeight="true" outlineLevel="0" collapsed="false">
      <c r="A4" s="6" t="s">
        <v>221</v>
      </c>
      <c r="B4" s="6" t="s">
        <v>222</v>
      </c>
      <c r="C4" s="6" t="s">
        <v>223</v>
      </c>
    </row>
    <row r="5" customFormat="false" ht="33.75" hidden="false" customHeight="true" outlineLevel="0" collapsed="false">
      <c r="A5" s="25" t="s">
        <v>224</v>
      </c>
      <c r="B5" s="18" t="s">
        <v>130</v>
      </c>
      <c r="C5" s="7" t="s">
        <v>225</v>
      </c>
    </row>
    <row r="6" customFormat="false" ht="33.75" hidden="false" customHeight="true" outlineLevel="0" collapsed="false">
      <c r="A6" s="25" t="s">
        <v>226</v>
      </c>
      <c r="B6" s="18" t="s">
        <v>227</v>
      </c>
      <c r="C6" s="7" t="s">
        <v>228</v>
      </c>
    </row>
    <row r="7" customFormat="false" ht="33.75" hidden="false" customHeight="true" outlineLevel="0" collapsed="false">
      <c r="A7" s="25" t="s">
        <v>229</v>
      </c>
      <c r="B7" s="16" t="s">
        <v>230</v>
      </c>
      <c r="C7" s="7" t="s">
        <v>231</v>
      </c>
    </row>
    <row r="8" customFormat="false" ht="33.75" hidden="false" customHeight="true" outlineLevel="0" collapsed="false">
      <c r="A8" s="25" t="s">
        <v>232</v>
      </c>
      <c r="B8" s="16" t="s">
        <v>233</v>
      </c>
      <c r="C8" s="7" t="s">
        <v>234</v>
      </c>
    </row>
    <row r="9" customFormat="false" ht="33.75" hidden="false" customHeight="true" outlineLevel="0" collapsed="false">
      <c r="A9" s="25" t="s">
        <v>235</v>
      </c>
      <c r="B9" s="16" t="s">
        <v>236</v>
      </c>
      <c r="C9" s="7" t="s">
        <v>237</v>
      </c>
    </row>
    <row r="10" customFormat="false" ht="33.75" hidden="false" customHeight="true" outlineLevel="0" collapsed="false">
      <c r="A10" s="25" t="s">
        <v>238</v>
      </c>
      <c r="B10" s="18" t="s">
        <v>239</v>
      </c>
      <c r="C10" s="7" t="s">
        <v>240</v>
      </c>
    </row>
    <row r="11" customFormat="false" ht="33.75" hidden="false" customHeight="true" outlineLevel="0" collapsed="false">
      <c r="A11" s="25" t="s">
        <v>241</v>
      </c>
      <c r="B11" s="18" t="s">
        <v>242</v>
      </c>
      <c r="C11" s="7" t="s">
        <v>243</v>
      </c>
    </row>
    <row r="12" customFormat="false" ht="33.75" hidden="false" customHeight="true" outlineLevel="0" collapsed="false">
      <c r="A12" s="25" t="s">
        <v>244</v>
      </c>
      <c r="B12" s="16" t="s">
        <v>245</v>
      </c>
      <c r="C12" s="7" t="s">
        <v>246</v>
      </c>
    </row>
    <row r="14" customFormat="false" ht="18" hidden="false" customHeight="true" outlineLevel="0" collapsed="false">
      <c r="A14" s="5" t="s">
        <v>247</v>
      </c>
      <c r="B14" s="5"/>
      <c r="C14" s="5"/>
    </row>
    <row r="15" customFormat="false" ht="30" hidden="false" customHeight="true" outlineLevel="0" collapsed="false">
      <c r="A15" s="6" t="s">
        <v>248</v>
      </c>
      <c r="B15" s="6" t="s">
        <v>249</v>
      </c>
      <c r="C15" s="6" t="s">
        <v>250</v>
      </c>
    </row>
    <row r="16" customFormat="false" ht="45.75" hidden="false" customHeight="true" outlineLevel="0" collapsed="false">
      <c r="A16" s="25" t="s">
        <v>251</v>
      </c>
      <c r="B16" s="7" t="s">
        <v>252</v>
      </c>
      <c r="C16" s="7" t="s">
        <v>253</v>
      </c>
    </row>
    <row r="17" customFormat="false" ht="45.75" hidden="false" customHeight="true" outlineLevel="0" collapsed="false">
      <c r="A17" s="25" t="s">
        <v>254</v>
      </c>
      <c r="B17" s="7" t="s">
        <v>255</v>
      </c>
      <c r="C17" s="7" t="s">
        <v>256</v>
      </c>
    </row>
    <row r="18" customFormat="false" ht="45.75" hidden="false" customHeight="true" outlineLevel="0" collapsed="false">
      <c r="A18" s="25" t="s">
        <v>257</v>
      </c>
      <c r="B18" s="7" t="s">
        <v>258</v>
      </c>
      <c r="C18" s="7" t="s">
        <v>259</v>
      </c>
    </row>
    <row r="19" customFormat="false" ht="45.75" hidden="false" customHeight="true" outlineLevel="0" collapsed="false">
      <c r="A19" s="25" t="s">
        <v>260</v>
      </c>
      <c r="B19" s="7" t="s">
        <v>261</v>
      </c>
      <c r="C19" s="7" t="s">
        <v>262</v>
      </c>
    </row>
    <row r="20" customFormat="false" ht="45.75" hidden="false" customHeight="true" outlineLevel="0" collapsed="false">
      <c r="A20" s="25" t="s">
        <v>263</v>
      </c>
      <c r="B20" s="7" t="s">
        <v>264</v>
      </c>
      <c r="C20" s="7" t="s">
        <v>265</v>
      </c>
    </row>
    <row r="22" customFormat="false" ht="18" hidden="false" customHeight="true" outlineLevel="0" collapsed="false">
      <c r="A22" s="5" t="s">
        <v>266</v>
      </c>
      <c r="B22" s="5"/>
      <c r="C22" s="5"/>
    </row>
    <row r="23" customFormat="false" ht="57.75" hidden="false" customHeight="true" outlineLevel="0" collapsed="false">
      <c r="A23" s="26" t="s">
        <v>267</v>
      </c>
      <c r="B23" s="26"/>
      <c r="C23" s="26"/>
    </row>
    <row r="24" customFormat="false" ht="30" hidden="false" customHeight="true" outlineLevel="0" collapsed="false">
      <c r="A24" s="6" t="s">
        <v>250</v>
      </c>
      <c r="B24" s="6" t="s">
        <v>222</v>
      </c>
      <c r="C24" s="6" t="s">
        <v>223</v>
      </c>
    </row>
    <row r="25" customFormat="false" ht="48" hidden="false" customHeight="true" outlineLevel="0" collapsed="false">
      <c r="A25" s="25" t="s">
        <v>268</v>
      </c>
      <c r="B25" s="18" t="s">
        <v>264</v>
      </c>
      <c r="C25" s="7" t="s">
        <v>269</v>
      </c>
    </row>
    <row r="26" customFormat="false" ht="48" hidden="false" customHeight="true" outlineLevel="0" collapsed="false">
      <c r="A26" s="25" t="s">
        <v>270</v>
      </c>
      <c r="B26" s="18" t="s">
        <v>271</v>
      </c>
      <c r="C26" s="7" t="s">
        <v>272</v>
      </c>
    </row>
    <row r="27" customFormat="false" ht="48" hidden="false" customHeight="true" outlineLevel="0" collapsed="false">
      <c r="A27" s="25" t="s">
        <v>273</v>
      </c>
      <c r="B27" s="18" t="s">
        <v>274</v>
      </c>
      <c r="C27" s="7" t="s">
        <v>275</v>
      </c>
    </row>
    <row r="28" customFormat="false" ht="48" hidden="false" customHeight="true" outlineLevel="0" collapsed="false">
      <c r="A28" s="25" t="s">
        <v>276</v>
      </c>
      <c r="B28" s="16" t="s">
        <v>277</v>
      </c>
      <c r="C28" s="7" t="s">
        <v>278</v>
      </c>
    </row>
    <row r="29" customFormat="false" ht="48" hidden="false" customHeight="true" outlineLevel="0" collapsed="false">
      <c r="A29" s="25" t="s">
        <v>279</v>
      </c>
      <c r="B29" s="16" t="s">
        <v>277</v>
      </c>
      <c r="C29" s="7" t="s">
        <v>280</v>
      </c>
    </row>
    <row r="30" customFormat="false" ht="48" hidden="false" customHeight="true" outlineLevel="0" collapsed="false">
      <c r="A30" s="25" t="s">
        <v>281</v>
      </c>
      <c r="B30" s="16" t="s">
        <v>282</v>
      </c>
      <c r="C30" s="7" t="s">
        <v>283</v>
      </c>
    </row>
    <row r="31" customFormat="false" ht="48" hidden="false" customHeight="true" outlineLevel="0" collapsed="false">
      <c r="A31" s="25" t="s">
        <v>284</v>
      </c>
      <c r="B31" s="16" t="s">
        <v>285</v>
      </c>
      <c r="C31" s="7" t="s">
        <v>286</v>
      </c>
    </row>
    <row r="33" customFormat="false" ht="18" hidden="false" customHeight="true" outlineLevel="0" collapsed="false">
      <c r="A33" s="5" t="s">
        <v>287</v>
      </c>
      <c r="B33" s="5"/>
      <c r="C33" s="5"/>
    </row>
    <row r="34" customFormat="false" ht="30" hidden="false" customHeight="true" outlineLevel="0" collapsed="false">
      <c r="A34" s="6" t="s">
        <v>288</v>
      </c>
      <c r="B34" s="6" t="s">
        <v>289</v>
      </c>
      <c r="C34" s="6" t="s">
        <v>290</v>
      </c>
    </row>
    <row r="35" customFormat="false" ht="33.75" hidden="false" customHeight="true" outlineLevel="0" collapsed="false">
      <c r="A35" s="25" t="s">
        <v>291</v>
      </c>
      <c r="B35" s="16" t="s">
        <v>292</v>
      </c>
      <c r="C35" s="7" t="s">
        <v>293</v>
      </c>
    </row>
    <row r="36" customFormat="false" ht="33.75" hidden="false" customHeight="true" outlineLevel="0" collapsed="false">
      <c r="A36" s="25" t="s">
        <v>294</v>
      </c>
      <c r="B36" s="16" t="s">
        <v>295</v>
      </c>
      <c r="C36" s="7" t="s">
        <v>296</v>
      </c>
    </row>
    <row r="37" customFormat="false" ht="33.75" hidden="false" customHeight="true" outlineLevel="0" collapsed="false">
      <c r="A37" s="25" t="s">
        <v>297</v>
      </c>
      <c r="B37" s="16" t="s">
        <v>295</v>
      </c>
      <c r="C37" s="7" t="s">
        <v>298</v>
      </c>
    </row>
    <row r="39" customFormat="false" ht="33.75" hidden="false" customHeight="true" outlineLevel="0" collapsed="false">
      <c r="A39" s="27" t="s">
        <v>299</v>
      </c>
      <c r="C39" s="4" t="s">
        <v>300</v>
      </c>
    </row>
    <row r="41" customFormat="false" ht="18" hidden="false" customHeight="true" outlineLevel="0" collapsed="false">
      <c r="A41" s="5" t="s">
        <v>301</v>
      </c>
      <c r="B41" s="5"/>
      <c r="C41" s="5"/>
    </row>
    <row r="42" customFormat="false" ht="30" hidden="false" customHeight="true" outlineLevel="0" collapsed="false">
      <c r="A42" s="6" t="s">
        <v>302</v>
      </c>
      <c r="B42" s="6" t="s">
        <v>303</v>
      </c>
      <c r="C42" s="6" t="s">
        <v>223</v>
      </c>
    </row>
    <row r="43" customFormat="false" ht="15" hidden="false" customHeight="true" outlineLevel="0" collapsed="false">
      <c r="A43" s="28" t="s">
        <v>304</v>
      </c>
      <c r="B43" s="18" t="s">
        <v>305</v>
      </c>
      <c r="C43" s="29" t="s">
        <v>306</v>
      </c>
    </row>
    <row r="44" customFormat="false" ht="15" hidden="false" customHeight="true" outlineLevel="0" collapsed="false">
      <c r="A44" s="28" t="s">
        <v>307</v>
      </c>
      <c r="B44" s="18" t="s">
        <v>308</v>
      </c>
      <c r="C44" s="29" t="s">
        <v>309</v>
      </c>
    </row>
    <row r="45" customFormat="false" ht="15" hidden="false" customHeight="true" outlineLevel="0" collapsed="false">
      <c r="A45" s="28" t="s">
        <v>310</v>
      </c>
      <c r="B45" s="18" t="s">
        <v>311</v>
      </c>
      <c r="C45" s="29" t="s">
        <v>312</v>
      </c>
    </row>
    <row r="46" customFormat="false" ht="15" hidden="false" customHeight="true" outlineLevel="0" collapsed="false">
      <c r="A46" s="28" t="s">
        <v>313</v>
      </c>
      <c r="B46" s="18" t="s">
        <v>314</v>
      </c>
      <c r="C46" s="29" t="s">
        <v>315</v>
      </c>
    </row>
    <row r="47" customFormat="false" ht="15" hidden="false" customHeight="true" outlineLevel="0" collapsed="false">
      <c r="A47" s="28" t="s">
        <v>316</v>
      </c>
      <c r="B47" s="18" t="s">
        <v>317</v>
      </c>
      <c r="C47" s="29" t="s">
        <v>318</v>
      </c>
    </row>
    <row r="48" customFormat="false" ht="15" hidden="false" customHeight="true" outlineLevel="0" collapsed="false">
      <c r="A48" s="28" t="s">
        <v>319</v>
      </c>
      <c r="B48" s="18" t="s">
        <v>308</v>
      </c>
      <c r="C48" s="29"/>
    </row>
    <row r="49" customFormat="false" ht="15" hidden="false" customHeight="true" outlineLevel="0" collapsed="false">
      <c r="A49" s="28" t="s">
        <v>320</v>
      </c>
      <c r="B49" s="18" t="s">
        <v>321</v>
      </c>
      <c r="C49" s="29" t="s">
        <v>322</v>
      </c>
    </row>
    <row r="50" customFormat="false" ht="15" hidden="false" customHeight="true" outlineLevel="0" collapsed="false">
      <c r="A50" s="28" t="s">
        <v>323</v>
      </c>
      <c r="B50" s="18" t="s">
        <v>321</v>
      </c>
      <c r="C50" s="29"/>
    </row>
    <row r="51" customFormat="false" ht="15" hidden="false" customHeight="true" outlineLevel="0" collapsed="false">
      <c r="A51" s="28" t="s">
        <v>324</v>
      </c>
      <c r="B51" s="18" t="s">
        <v>325</v>
      </c>
      <c r="C51" s="29" t="s">
        <v>326</v>
      </c>
    </row>
    <row r="52" customFormat="false" ht="15" hidden="false" customHeight="true" outlineLevel="0" collapsed="false">
      <c r="A52" s="28" t="s">
        <v>327</v>
      </c>
      <c r="B52" s="18" t="s">
        <v>328</v>
      </c>
      <c r="C52" s="29" t="s">
        <v>329</v>
      </c>
    </row>
    <row r="53" customFormat="false" ht="15" hidden="false" customHeight="true" outlineLevel="0" collapsed="false">
      <c r="A53" s="28" t="s">
        <v>330</v>
      </c>
      <c r="B53" s="18" t="s">
        <v>331</v>
      </c>
      <c r="C53" s="29" t="s">
        <v>332</v>
      </c>
    </row>
    <row r="54" customFormat="false" ht="15" hidden="false" customHeight="true" outlineLevel="0" collapsed="false">
      <c r="A54" s="28" t="s">
        <v>333</v>
      </c>
      <c r="B54" s="18" t="s">
        <v>334</v>
      </c>
      <c r="C54" s="29" t="s">
        <v>335</v>
      </c>
    </row>
    <row r="55" customFormat="false" ht="15" hidden="false" customHeight="true" outlineLevel="0" collapsed="false">
      <c r="A55" s="28" t="s">
        <v>336</v>
      </c>
      <c r="B55" s="18" t="s">
        <v>337</v>
      </c>
      <c r="C55" s="29" t="s">
        <v>338</v>
      </c>
    </row>
  </sheetData>
  <mergeCells count="7">
    <mergeCell ref="A1:C1"/>
    <mergeCell ref="A3:C3"/>
    <mergeCell ref="A14:C14"/>
    <mergeCell ref="A22:C22"/>
    <mergeCell ref="A23:C23"/>
    <mergeCell ref="A33:C33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74"/>
  </cols>
  <sheetData>
    <row r="1" customFormat="false" ht="24" hidden="false" customHeight="true" outlineLevel="0" collapsed="false">
      <c r="A1" s="2" t="s">
        <v>339</v>
      </c>
      <c r="B1" s="2"/>
      <c r="C1" s="2"/>
      <c r="D1" s="2"/>
    </row>
    <row r="3" customFormat="false" ht="43.5" hidden="false" customHeight="true" outlineLevel="0" collapsed="false">
      <c r="A3" s="8" t="s">
        <v>340</v>
      </c>
      <c r="B3" s="8"/>
      <c r="C3" s="8"/>
      <c r="D3" s="8"/>
    </row>
    <row r="5" customFormat="false" ht="18" hidden="false" customHeight="true" outlineLevel="0" collapsed="false">
      <c r="A5" s="5" t="s">
        <v>341</v>
      </c>
      <c r="B5" s="5"/>
      <c r="C5" s="5"/>
      <c r="D5" s="5"/>
    </row>
    <row r="6" customFormat="false" ht="27.75" hidden="false" customHeight="true" outlineLevel="0" collapsed="false">
      <c r="A6" s="6"/>
      <c r="B6" s="6" t="s">
        <v>75</v>
      </c>
      <c r="C6" s="6" t="s">
        <v>342</v>
      </c>
      <c r="D6" s="6" t="s">
        <v>223</v>
      </c>
    </row>
    <row r="7" customFormat="false" ht="43.5" hidden="false" customHeight="true" outlineLevel="0" collapsed="false">
      <c r="B7" s="25" t="s">
        <v>343</v>
      </c>
      <c r="C7" s="7" t="s">
        <v>344</v>
      </c>
      <c r="D7" s="7" t="s">
        <v>345</v>
      </c>
    </row>
    <row r="8" customFormat="false" ht="43.5" hidden="false" customHeight="true" outlineLevel="0" collapsed="false">
      <c r="B8" s="25" t="s">
        <v>346</v>
      </c>
      <c r="C8" s="7" t="s">
        <v>347</v>
      </c>
      <c r="D8" s="7" t="s">
        <v>348</v>
      </c>
    </row>
    <row r="10" customFormat="false" ht="18" hidden="false" customHeight="true" outlineLevel="0" collapsed="false">
      <c r="A10" s="5" t="s">
        <v>349</v>
      </c>
      <c r="B10" s="5"/>
      <c r="C10" s="5"/>
      <c r="D10" s="5"/>
    </row>
    <row r="11" customFormat="false" ht="27.75" hidden="false" customHeight="true" outlineLevel="0" collapsed="false">
      <c r="A11" s="6" t="s">
        <v>73</v>
      </c>
      <c r="B11" s="6" t="s">
        <v>250</v>
      </c>
      <c r="C11" s="6" t="s">
        <v>350</v>
      </c>
      <c r="D11" s="6" t="s">
        <v>351</v>
      </c>
    </row>
    <row r="12" customFormat="false" ht="75.75" hidden="false" customHeight="true" outlineLevel="0" collapsed="false">
      <c r="A12" s="30" t="n">
        <v>1</v>
      </c>
      <c r="B12" s="9" t="s">
        <v>352</v>
      </c>
      <c r="C12" s="31" t="s">
        <v>353</v>
      </c>
      <c r="D12" s="32" t="s">
        <v>354</v>
      </c>
    </row>
    <row r="13" customFormat="false" ht="75.75" hidden="false" customHeight="true" outlineLevel="0" collapsed="false">
      <c r="A13" s="30" t="n">
        <v>2</v>
      </c>
      <c r="B13" s="9" t="s">
        <v>355</v>
      </c>
      <c r="C13" s="31" t="s">
        <v>356</v>
      </c>
      <c r="D13" s="32" t="s">
        <v>357</v>
      </c>
    </row>
    <row r="14" customFormat="false" ht="75.75" hidden="false" customHeight="true" outlineLevel="0" collapsed="false">
      <c r="A14" s="30" t="n">
        <v>3</v>
      </c>
      <c r="B14" s="9" t="s">
        <v>358</v>
      </c>
      <c r="C14" s="31" t="s">
        <v>359</v>
      </c>
      <c r="D14" s="32" t="s">
        <v>360</v>
      </c>
    </row>
    <row r="15" customFormat="false" ht="75.75" hidden="false" customHeight="true" outlineLevel="0" collapsed="false">
      <c r="A15" s="33" t="n">
        <v>4</v>
      </c>
      <c r="B15" s="13" t="s">
        <v>361</v>
      </c>
      <c r="C15" s="34" t="s">
        <v>362</v>
      </c>
      <c r="D15" s="14" t="s">
        <v>363</v>
      </c>
    </row>
    <row r="16" customFormat="false" ht="75.75" hidden="false" customHeight="true" outlineLevel="0" collapsed="false">
      <c r="A16" s="33" t="n">
        <v>5</v>
      </c>
      <c r="B16" s="13" t="s">
        <v>364</v>
      </c>
      <c r="C16" s="34" t="s">
        <v>365</v>
      </c>
      <c r="D16" s="14" t="s">
        <v>366</v>
      </c>
    </row>
    <row r="17" customFormat="false" ht="108" hidden="false" customHeight="true" outlineLevel="0" collapsed="false">
      <c r="A17" s="35" t="n">
        <v>6</v>
      </c>
      <c r="B17" s="20" t="s">
        <v>367</v>
      </c>
      <c r="C17" s="36" t="s">
        <v>368</v>
      </c>
      <c r="D17" s="21" t="s">
        <v>369</v>
      </c>
    </row>
    <row r="18" customFormat="false" ht="75.75" hidden="false" customHeight="true" outlineLevel="0" collapsed="false">
      <c r="A18" s="35" t="n">
        <v>7</v>
      </c>
      <c r="B18" s="20" t="s">
        <v>370</v>
      </c>
      <c r="C18" s="36" t="s">
        <v>371</v>
      </c>
      <c r="D18" s="21" t="s">
        <v>372</v>
      </c>
    </row>
    <row r="20" customFormat="false" ht="18" hidden="false" customHeight="true" outlineLevel="0" collapsed="false">
      <c r="A20" s="5" t="s">
        <v>373</v>
      </c>
      <c r="B20" s="5"/>
      <c r="C20" s="5"/>
      <c r="D20" s="5"/>
    </row>
    <row r="21" customFormat="false" ht="15.75" hidden="false" customHeight="true" outlineLevel="0" collapsed="false">
      <c r="B21" s="37" t="s">
        <v>374</v>
      </c>
      <c r="C21" s="37"/>
      <c r="D21" s="37"/>
    </row>
    <row r="22" customFormat="false" ht="15.75" hidden="false" customHeight="true" outlineLevel="0" collapsed="false">
      <c r="B22" s="38" t="s">
        <v>375</v>
      </c>
      <c r="C22" s="38"/>
      <c r="D22" s="38"/>
    </row>
    <row r="23" customFormat="false" ht="15.75" hidden="false" customHeight="true" outlineLevel="0" collapsed="false">
      <c r="B23" s="38" t="s">
        <v>376</v>
      </c>
      <c r="C23" s="38"/>
      <c r="D23" s="38"/>
    </row>
    <row r="24" customFormat="false" ht="15.75" hidden="false" customHeight="true" outlineLevel="0" collapsed="false">
      <c r="B24" s="38" t="s">
        <v>377</v>
      </c>
      <c r="C24" s="38"/>
      <c r="D24" s="38"/>
    </row>
    <row r="25" customFormat="false" ht="15.75" hidden="false" customHeight="true" outlineLevel="0" collapsed="false">
      <c r="B25" s="38" t="s">
        <v>378</v>
      </c>
      <c r="C25" s="38"/>
      <c r="D25" s="38"/>
    </row>
    <row r="26" customFormat="false" ht="15.75" hidden="false" customHeight="true" outlineLevel="0" collapsed="false">
      <c r="B26" s="38" t="s">
        <v>379</v>
      </c>
      <c r="C26" s="38"/>
      <c r="D26" s="38"/>
    </row>
    <row r="27" customFormat="false" ht="15.75" hidden="false" customHeight="true" outlineLevel="0" collapsed="false">
      <c r="B27" s="37" t="s">
        <v>380</v>
      </c>
      <c r="C27" s="37"/>
      <c r="D27" s="37"/>
    </row>
    <row r="28" customFormat="false" ht="15.75" hidden="false" customHeight="true" outlineLevel="0" collapsed="false">
      <c r="B28" s="38" t="s">
        <v>381</v>
      </c>
      <c r="C28" s="38"/>
      <c r="D28" s="38"/>
    </row>
    <row r="29" customFormat="false" ht="15.75" hidden="false" customHeight="true" outlineLevel="0" collapsed="false">
      <c r="B29" s="38" t="s">
        <v>382</v>
      </c>
      <c r="C29" s="38"/>
      <c r="D29" s="38"/>
    </row>
    <row r="30" customFormat="false" ht="15.75" hidden="false" customHeight="true" outlineLevel="0" collapsed="false">
      <c r="B30" s="38" t="s">
        <v>383</v>
      </c>
      <c r="C30" s="38"/>
      <c r="D30" s="38"/>
    </row>
    <row r="31" customFormat="false" ht="15.75" hidden="false" customHeight="true" outlineLevel="0" collapsed="false">
      <c r="B31" s="38" t="s">
        <v>384</v>
      </c>
      <c r="C31" s="38"/>
      <c r="D31" s="38"/>
    </row>
    <row r="32" customFormat="false" ht="15.75" hidden="false" customHeight="true" outlineLevel="0" collapsed="false">
      <c r="B32" s="37" t="s">
        <v>385</v>
      </c>
      <c r="C32" s="37"/>
      <c r="D32" s="37"/>
    </row>
    <row r="33" customFormat="false" ht="15.75" hidden="false" customHeight="true" outlineLevel="0" collapsed="false">
      <c r="B33" s="38" t="s">
        <v>386</v>
      </c>
      <c r="C33" s="38"/>
      <c r="D33" s="38"/>
    </row>
    <row r="34" customFormat="false" ht="15.75" hidden="false" customHeight="true" outlineLevel="0" collapsed="false">
      <c r="B34" s="38" t="s">
        <v>387</v>
      </c>
      <c r="C34" s="38"/>
      <c r="D34" s="38"/>
    </row>
    <row r="35" customFormat="false" ht="15.75" hidden="false" customHeight="true" outlineLevel="0" collapsed="false">
      <c r="B35" s="37" t="s">
        <v>388</v>
      </c>
      <c r="C35" s="37"/>
      <c r="D35" s="37"/>
    </row>
    <row r="37" customFormat="false" ht="18" hidden="false" customHeight="true" outlineLevel="0" collapsed="false">
      <c r="A37" s="5" t="s">
        <v>389</v>
      </c>
      <c r="B37" s="5"/>
      <c r="C37" s="5"/>
      <c r="D37" s="5"/>
    </row>
    <row r="38" customFormat="false" ht="27.75" hidden="false" customHeight="true" outlineLevel="0" collapsed="false">
      <c r="A38" s="6"/>
      <c r="B38" s="6" t="s">
        <v>390</v>
      </c>
      <c r="C38" s="6" t="s">
        <v>391</v>
      </c>
      <c r="D38" s="6" t="s">
        <v>392</v>
      </c>
    </row>
    <row r="39" customFormat="false" ht="57.75" hidden="false" customHeight="true" outlineLevel="0" collapsed="false">
      <c r="B39" s="13" t="s">
        <v>393</v>
      </c>
      <c r="C39" s="14" t="s">
        <v>394</v>
      </c>
      <c r="D39" s="14" t="s">
        <v>395</v>
      </c>
    </row>
    <row r="40" customFormat="false" ht="57.75" hidden="false" customHeight="true" outlineLevel="0" collapsed="false">
      <c r="B40" s="13" t="s">
        <v>396</v>
      </c>
      <c r="C40" s="14" t="s">
        <v>397</v>
      </c>
      <c r="D40" s="14" t="s">
        <v>398</v>
      </c>
    </row>
    <row r="41" customFormat="false" ht="57.75" hidden="false" customHeight="true" outlineLevel="0" collapsed="false">
      <c r="B41" s="13" t="s">
        <v>399</v>
      </c>
      <c r="C41" s="14" t="s">
        <v>400</v>
      </c>
      <c r="D41" s="14" t="s">
        <v>401</v>
      </c>
    </row>
    <row r="42" customFormat="false" ht="57.75" hidden="false" customHeight="true" outlineLevel="0" collapsed="false">
      <c r="B42" s="13" t="s">
        <v>402</v>
      </c>
      <c r="C42" s="14" t="s">
        <v>403</v>
      </c>
      <c r="D42" s="14" t="s">
        <v>404</v>
      </c>
    </row>
    <row r="43" customFormat="false" ht="57.75" hidden="false" customHeight="true" outlineLevel="0" collapsed="false">
      <c r="B43" s="13" t="s">
        <v>405</v>
      </c>
      <c r="C43" s="14" t="s">
        <v>406</v>
      </c>
      <c r="D43" s="14" t="s">
        <v>407</v>
      </c>
    </row>
    <row r="44" customFormat="false" ht="57.75" hidden="false" customHeight="true" outlineLevel="0" collapsed="false">
      <c r="B44" s="13" t="s">
        <v>408</v>
      </c>
      <c r="C44" s="14" t="s">
        <v>409</v>
      </c>
      <c r="D44" s="14" t="s">
        <v>410</v>
      </c>
    </row>
    <row r="45" customFormat="false" ht="57.75" hidden="false" customHeight="true" outlineLevel="0" collapsed="false">
      <c r="B45" s="13" t="s">
        <v>411</v>
      </c>
      <c r="C45" s="14" t="s">
        <v>412</v>
      </c>
      <c r="D45" s="14" t="s">
        <v>413</v>
      </c>
    </row>
    <row r="46" customFormat="false" ht="57.75" hidden="false" customHeight="true" outlineLevel="0" collapsed="false">
      <c r="B46" s="13" t="s">
        <v>414</v>
      </c>
      <c r="C46" s="14" t="s">
        <v>415</v>
      </c>
      <c r="D46" s="14" t="s">
        <v>416</v>
      </c>
    </row>
    <row r="47" customFormat="false" ht="57.75" hidden="false" customHeight="true" outlineLevel="0" collapsed="false">
      <c r="B47" s="13" t="s">
        <v>417</v>
      </c>
      <c r="C47" s="14" t="s">
        <v>418</v>
      </c>
      <c r="D47" s="14" t="s">
        <v>419</v>
      </c>
    </row>
    <row r="49" customFormat="false" ht="31.5" hidden="false" customHeight="true" outlineLevel="0" collapsed="false">
      <c r="A49" s="24" t="s">
        <v>420</v>
      </c>
      <c r="B49" s="24"/>
      <c r="C49" s="24"/>
      <c r="D49" s="24"/>
    </row>
  </sheetData>
  <mergeCells count="22">
    <mergeCell ref="A1:D1"/>
    <mergeCell ref="A3:D3"/>
    <mergeCell ref="A5:D5"/>
    <mergeCell ref="A10:D10"/>
    <mergeCell ref="A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37:D37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94"/>
  </cols>
  <sheetData>
    <row r="1" customFormat="false" ht="24" hidden="false" customHeight="true" outlineLevel="0" collapsed="false">
      <c r="A1" s="2" t="s">
        <v>421</v>
      </c>
      <c r="B1" s="2"/>
      <c r="C1" s="2"/>
    </row>
    <row r="3" customFormat="false" ht="60" hidden="false" customHeight="true" outlineLevel="0" collapsed="false">
      <c r="A3" s="26" t="s">
        <v>422</v>
      </c>
      <c r="B3" s="26"/>
      <c r="C3" s="26"/>
    </row>
    <row r="5" customFormat="false" ht="18" hidden="false" customHeight="true" outlineLevel="0" collapsed="false">
      <c r="A5" s="5" t="s">
        <v>423</v>
      </c>
      <c r="B5" s="5"/>
      <c r="C5" s="5"/>
    </row>
    <row r="6" customFormat="false" ht="30" hidden="false" customHeight="true" outlineLevel="0" collapsed="false">
      <c r="A6" s="6" t="s">
        <v>250</v>
      </c>
      <c r="B6" s="6" t="s">
        <v>222</v>
      </c>
      <c r="C6" s="6" t="s">
        <v>424</v>
      </c>
    </row>
    <row r="7" customFormat="false" ht="45.75" hidden="false" customHeight="true" outlineLevel="0" collapsed="false">
      <c r="A7" s="25" t="s">
        <v>425</v>
      </c>
      <c r="B7" s="39" t="s">
        <v>426</v>
      </c>
      <c r="C7" s="7" t="s">
        <v>427</v>
      </c>
    </row>
    <row r="8" customFormat="false" ht="45.75" hidden="false" customHeight="true" outlineLevel="0" collapsed="false">
      <c r="A8" s="25" t="s">
        <v>428</v>
      </c>
      <c r="B8" s="7" t="s">
        <v>429</v>
      </c>
      <c r="C8" s="7" t="s">
        <v>430</v>
      </c>
    </row>
    <row r="9" customFormat="false" ht="45.75" hidden="false" customHeight="true" outlineLevel="0" collapsed="false">
      <c r="A9" s="25" t="s">
        <v>431</v>
      </c>
      <c r="B9" s="7" t="s">
        <v>432</v>
      </c>
      <c r="C9" s="7" t="s">
        <v>433</v>
      </c>
    </row>
    <row r="10" customFormat="false" ht="45.75" hidden="false" customHeight="true" outlineLevel="0" collapsed="false">
      <c r="A10" s="25" t="s">
        <v>434</v>
      </c>
      <c r="B10" s="7" t="s">
        <v>435</v>
      </c>
      <c r="C10" s="7" t="s">
        <v>436</v>
      </c>
    </row>
    <row r="11" customFormat="false" ht="45.75" hidden="false" customHeight="true" outlineLevel="0" collapsed="false">
      <c r="A11" s="25" t="s">
        <v>437</v>
      </c>
      <c r="B11" s="7" t="s">
        <v>438</v>
      </c>
      <c r="C11" s="7" t="s">
        <v>439</v>
      </c>
    </row>
    <row r="12" customFormat="false" ht="45.75" hidden="false" customHeight="true" outlineLevel="0" collapsed="false">
      <c r="A12" s="25" t="s">
        <v>440</v>
      </c>
      <c r="B12" s="7" t="s">
        <v>441</v>
      </c>
      <c r="C12" s="7" t="s">
        <v>442</v>
      </c>
    </row>
    <row r="14" customFormat="false" ht="18" hidden="false" customHeight="true" outlineLevel="0" collapsed="false">
      <c r="A14" s="5" t="s">
        <v>443</v>
      </c>
      <c r="B14" s="5"/>
      <c r="C14" s="5"/>
    </row>
    <row r="15" customFormat="false" ht="30" hidden="false" customHeight="true" outlineLevel="0" collapsed="false">
      <c r="A15" s="6" t="s">
        <v>250</v>
      </c>
      <c r="B15" s="6" t="s">
        <v>222</v>
      </c>
      <c r="C15" s="6" t="s">
        <v>223</v>
      </c>
    </row>
    <row r="16" customFormat="false" ht="43.5" hidden="false" customHeight="true" outlineLevel="0" collapsed="false">
      <c r="A16" s="25" t="s">
        <v>444</v>
      </c>
      <c r="B16" s="39" t="s">
        <v>445</v>
      </c>
      <c r="C16" s="7" t="s">
        <v>446</v>
      </c>
    </row>
    <row r="17" customFormat="false" ht="43.5" hidden="false" customHeight="true" outlineLevel="0" collapsed="false">
      <c r="A17" s="25" t="s">
        <v>447</v>
      </c>
      <c r="B17" s="39" t="s">
        <v>448</v>
      </c>
      <c r="C17" s="7" t="s">
        <v>449</v>
      </c>
    </row>
    <row r="18" customFormat="false" ht="43.5" hidden="false" customHeight="true" outlineLevel="0" collapsed="false">
      <c r="A18" s="25" t="s">
        <v>450</v>
      </c>
      <c r="B18" s="7" t="s">
        <v>451</v>
      </c>
      <c r="C18" s="7" t="s">
        <v>452</v>
      </c>
    </row>
    <row r="19" customFormat="false" ht="43.5" hidden="false" customHeight="true" outlineLevel="0" collapsed="false">
      <c r="A19" s="25" t="s">
        <v>453</v>
      </c>
      <c r="B19" s="7" t="s">
        <v>295</v>
      </c>
      <c r="C19" s="7" t="s">
        <v>454</v>
      </c>
    </row>
    <row r="20" customFormat="false" ht="43.5" hidden="false" customHeight="true" outlineLevel="0" collapsed="false">
      <c r="A20" s="25" t="s">
        <v>455</v>
      </c>
      <c r="B20" s="7" t="s">
        <v>99</v>
      </c>
      <c r="C20" s="7" t="s">
        <v>456</v>
      </c>
    </row>
    <row r="21" customFormat="false" ht="43.5" hidden="false" customHeight="true" outlineLevel="0" collapsed="false">
      <c r="A21" s="25" t="s">
        <v>457</v>
      </c>
      <c r="B21" s="7" t="s">
        <v>99</v>
      </c>
      <c r="C21" s="7" t="s">
        <v>458</v>
      </c>
    </row>
    <row r="22" customFormat="false" ht="43.5" hidden="false" customHeight="true" outlineLevel="0" collapsed="false">
      <c r="A22" s="25" t="s">
        <v>459</v>
      </c>
      <c r="B22" s="7" t="s">
        <v>460</v>
      </c>
      <c r="C22" s="7" t="s">
        <v>461</v>
      </c>
    </row>
    <row r="23" customFormat="false" ht="43.5" hidden="false" customHeight="true" outlineLevel="0" collapsed="false">
      <c r="A23" s="25" t="s">
        <v>462</v>
      </c>
      <c r="B23" s="7" t="s">
        <v>463</v>
      </c>
      <c r="C23" s="7" t="s">
        <v>464</v>
      </c>
    </row>
    <row r="25" customFormat="false" ht="18" hidden="false" customHeight="true" outlineLevel="0" collapsed="false">
      <c r="A25" s="5" t="s">
        <v>465</v>
      </c>
      <c r="B25" s="5"/>
      <c r="C25" s="5"/>
    </row>
    <row r="26" customFormat="false" ht="30" hidden="false" customHeight="true" outlineLevel="0" collapsed="false">
      <c r="A26" s="6" t="s">
        <v>466</v>
      </c>
      <c r="B26" s="6" t="s">
        <v>467</v>
      </c>
      <c r="C26" s="6" t="s">
        <v>468</v>
      </c>
    </row>
    <row r="27" customFormat="false" ht="31.5" hidden="false" customHeight="true" outlineLevel="0" collapsed="false">
      <c r="A27" s="25" t="s">
        <v>469</v>
      </c>
      <c r="B27" s="16" t="n">
        <f aca="false">COUNTIF(Roster!$D$4:$D$103,$A27)</f>
        <v>13</v>
      </c>
      <c r="C27" s="7" t="s">
        <v>470</v>
      </c>
    </row>
    <row r="28" customFormat="false" ht="31.5" hidden="false" customHeight="true" outlineLevel="0" collapsed="false">
      <c r="A28" s="25" t="s">
        <v>471</v>
      </c>
      <c r="B28" s="16" t="n">
        <f aca="false">COUNTIF(Roster!$D$4:$D$103,$A28)</f>
        <v>27</v>
      </c>
      <c r="C28" s="7" t="s">
        <v>472</v>
      </c>
    </row>
    <row r="29" customFormat="false" ht="31.5" hidden="false" customHeight="true" outlineLevel="0" collapsed="false">
      <c r="A29" s="25" t="s">
        <v>473</v>
      </c>
      <c r="B29" s="16" t="n">
        <f aca="false">COUNTIF(Roster!$D$4:$D$103,$A29)</f>
        <v>11</v>
      </c>
      <c r="C29" s="7" t="s">
        <v>474</v>
      </c>
    </row>
    <row r="30" customFormat="false" ht="31.5" hidden="false" customHeight="true" outlineLevel="0" collapsed="false">
      <c r="A30" s="25" t="s">
        <v>475</v>
      </c>
      <c r="B30" s="16" t="n">
        <f aca="false">COUNTIF(Roster!$D$4:$D$103,$A30)</f>
        <v>21</v>
      </c>
      <c r="C30" s="7" t="s">
        <v>476</v>
      </c>
    </row>
    <row r="31" customFormat="false" ht="31.5" hidden="false" customHeight="true" outlineLevel="0" collapsed="false">
      <c r="A31" s="25" t="s">
        <v>477</v>
      </c>
      <c r="B31" s="16" t="n">
        <f aca="false">COUNTIF(Roster!$D$4:$D$103,$A31)</f>
        <v>13</v>
      </c>
      <c r="C31" s="7" t="s">
        <v>478</v>
      </c>
    </row>
    <row r="32" customFormat="false" ht="31.5" hidden="false" customHeight="true" outlineLevel="0" collapsed="false">
      <c r="A32" s="25" t="s">
        <v>479</v>
      </c>
      <c r="B32" s="16" t="n">
        <f aca="false">COUNTIF(Roster!$D$4:$D$103,$A32)</f>
        <v>15</v>
      </c>
      <c r="C32" s="7" t="s">
        <v>480</v>
      </c>
    </row>
    <row r="33" customFormat="false" ht="15" hidden="false" customHeight="true" outlineLevel="0" collapsed="false">
      <c r="A33" s="27" t="s">
        <v>481</v>
      </c>
      <c r="B33" s="40" t="n">
        <f aca="false">SUM(B27:B32)</f>
        <v>100</v>
      </c>
    </row>
    <row r="35" customFormat="false" ht="18" hidden="false" customHeight="true" outlineLevel="0" collapsed="false">
      <c r="A35" s="5" t="s">
        <v>482</v>
      </c>
      <c r="B35" s="5"/>
      <c r="C35" s="5"/>
    </row>
    <row r="36" customFormat="false" ht="75.75" hidden="false" customHeight="true" outlineLevel="0" collapsed="false">
      <c r="A36" s="41" t="s">
        <v>483</v>
      </c>
      <c r="B36" s="41"/>
      <c r="C36" s="41"/>
    </row>
  </sheetData>
  <mergeCells count="7">
    <mergeCell ref="A1:C1"/>
    <mergeCell ref="A3:C3"/>
    <mergeCell ref="A5:C5"/>
    <mergeCell ref="A14:C14"/>
    <mergeCell ref="A25:C25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4" min="3" style="1" width="13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44"/>
    <col collapsed="false" customWidth="true" hidden="false" outlineLevel="0" max="8" min="8" style="1" width="62"/>
  </cols>
  <sheetData>
    <row r="1" customFormat="false" ht="24" hidden="false" customHeight="true" outlineLevel="0" collapsed="false">
      <c r="A1" s="2" t="s">
        <v>484</v>
      </c>
      <c r="B1" s="2"/>
      <c r="C1" s="2"/>
      <c r="D1" s="2"/>
      <c r="E1" s="2"/>
      <c r="F1" s="2"/>
      <c r="G1" s="2"/>
      <c r="H1" s="2"/>
    </row>
    <row r="3" customFormat="false" ht="39.75" hidden="false" customHeight="true" outlineLevel="0" collapsed="false">
      <c r="A3" s="8" t="s">
        <v>485</v>
      </c>
      <c r="B3" s="8"/>
      <c r="C3" s="8"/>
      <c r="D3" s="8"/>
      <c r="E3" s="8"/>
      <c r="F3" s="8"/>
      <c r="G3" s="8"/>
      <c r="H3" s="8"/>
    </row>
    <row r="5" customFormat="false" ht="18" hidden="false" customHeight="true" outlineLevel="0" collapsed="false">
      <c r="A5" s="5" t="s">
        <v>486</v>
      </c>
      <c r="B5" s="5"/>
      <c r="C5" s="5"/>
      <c r="D5" s="5"/>
      <c r="E5" s="5"/>
      <c r="F5" s="5"/>
      <c r="G5" s="5"/>
      <c r="H5" s="5"/>
    </row>
    <row r="6" customFormat="false" ht="30" hidden="false" customHeight="true" outlineLevel="0" collapsed="false">
      <c r="A6" s="6" t="s">
        <v>73</v>
      </c>
      <c r="B6" s="6" t="s">
        <v>487</v>
      </c>
      <c r="C6" s="6" t="s">
        <v>488</v>
      </c>
      <c r="D6" s="6" t="s">
        <v>466</v>
      </c>
      <c r="E6" s="6" t="s">
        <v>489</v>
      </c>
      <c r="F6" s="6" t="s">
        <v>490</v>
      </c>
      <c r="G6" s="6" t="s">
        <v>491</v>
      </c>
      <c r="H6" s="6" t="s">
        <v>492</v>
      </c>
    </row>
    <row r="7" customFormat="false" ht="61.5" hidden="false" customHeight="true" outlineLevel="0" collapsed="false">
      <c r="A7" s="42" t="n">
        <v>1</v>
      </c>
      <c r="B7" s="43" t="s">
        <v>493</v>
      </c>
      <c r="C7" s="44" t="s">
        <v>494</v>
      </c>
      <c r="D7" s="44" t="s">
        <v>469</v>
      </c>
      <c r="E7" s="42" t="s">
        <v>495</v>
      </c>
      <c r="F7" s="44" t="s">
        <v>496</v>
      </c>
      <c r="G7" s="7" t="s">
        <v>497</v>
      </c>
      <c r="H7" s="7" t="s">
        <v>498</v>
      </c>
    </row>
    <row r="8" customFormat="false" ht="61.5" hidden="false" customHeight="true" outlineLevel="0" collapsed="false">
      <c r="A8" s="45" t="n">
        <v>89</v>
      </c>
      <c r="B8" s="46" t="s">
        <v>499</v>
      </c>
      <c r="C8" s="47" t="s">
        <v>500</v>
      </c>
      <c r="D8" s="47" t="s">
        <v>479</v>
      </c>
      <c r="E8" s="45" t="s">
        <v>501</v>
      </c>
      <c r="F8" s="47" t="s">
        <v>496</v>
      </c>
      <c r="G8" s="7" t="s">
        <v>502</v>
      </c>
      <c r="H8" s="7" t="s">
        <v>503</v>
      </c>
    </row>
    <row r="9" customFormat="false" ht="61.5" hidden="false" customHeight="true" outlineLevel="0" collapsed="false">
      <c r="A9" s="48" t="n">
        <v>27</v>
      </c>
      <c r="B9" s="49" t="s">
        <v>504</v>
      </c>
      <c r="C9" s="50" t="s">
        <v>505</v>
      </c>
      <c r="D9" s="50" t="s">
        <v>475</v>
      </c>
      <c r="E9" s="48" t="s">
        <v>501</v>
      </c>
      <c r="F9" s="50" t="s">
        <v>506</v>
      </c>
      <c r="G9" s="7" t="s">
        <v>507</v>
      </c>
      <c r="H9" s="7" t="s">
        <v>508</v>
      </c>
    </row>
    <row r="10" customFormat="false" ht="61.5" hidden="false" customHeight="true" outlineLevel="0" collapsed="false">
      <c r="A10" s="12" t="n">
        <v>39</v>
      </c>
      <c r="B10" s="13" t="s">
        <v>509</v>
      </c>
      <c r="C10" s="14" t="s">
        <v>510</v>
      </c>
      <c r="D10" s="14" t="s">
        <v>473</v>
      </c>
      <c r="E10" s="12" t="s">
        <v>501</v>
      </c>
      <c r="F10" s="14" t="s">
        <v>506</v>
      </c>
      <c r="G10" s="7" t="s">
        <v>511</v>
      </c>
      <c r="H10" s="7" t="s">
        <v>512</v>
      </c>
    </row>
    <row r="11" customFormat="false" ht="61.5" hidden="false" customHeight="true" outlineLevel="0" collapsed="false">
      <c r="A11" s="51" t="n">
        <v>95</v>
      </c>
      <c r="B11" s="52" t="s">
        <v>513</v>
      </c>
      <c r="C11" s="53" t="s">
        <v>514</v>
      </c>
      <c r="D11" s="53" t="s">
        <v>477</v>
      </c>
      <c r="E11" s="51" t="s">
        <v>495</v>
      </c>
      <c r="F11" s="53" t="s">
        <v>515</v>
      </c>
      <c r="G11" s="7" t="s">
        <v>516</v>
      </c>
      <c r="H11" s="7" t="s">
        <v>517</v>
      </c>
    </row>
    <row r="12" customFormat="false" ht="61.5" hidden="false" customHeight="true" outlineLevel="0" collapsed="false">
      <c r="A12" s="54" t="n">
        <v>77</v>
      </c>
      <c r="B12" s="55" t="s">
        <v>518</v>
      </c>
      <c r="C12" s="56" t="s">
        <v>519</v>
      </c>
      <c r="D12" s="56" t="s">
        <v>479</v>
      </c>
      <c r="E12" s="54" t="s">
        <v>495</v>
      </c>
      <c r="F12" s="56" t="s">
        <v>515</v>
      </c>
      <c r="G12" s="7" t="s">
        <v>520</v>
      </c>
      <c r="H12" s="7" t="s">
        <v>521</v>
      </c>
    </row>
    <row r="13" customFormat="false" ht="61.5" hidden="false" customHeight="true" outlineLevel="0" collapsed="false">
      <c r="A13" s="57" t="n">
        <v>82</v>
      </c>
      <c r="B13" s="9" t="s">
        <v>522</v>
      </c>
      <c r="C13" s="32" t="s">
        <v>523</v>
      </c>
      <c r="D13" s="32" t="s">
        <v>471</v>
      </c>
      <c r="E13" s="57" t="s">
        <v>495</v>
      </c>
      <c r="F13" s="32" t="s">
        <v>524</v>
      </c>
      <c r="G13" s="7" t="s">
        <v>525</v>
      </c>
      <c r="H13" s="7" t="s">
        <v>526</v>
      </c>
    </row>
    <row r="14" customFormat="false" ht="61.5" hidden="false" customHeight="true" outlineLevel="0" collapsed="false">
      <c r="A14" s="58" t="n">
        <v>53</v>
      </c>
      <c r="B14" s="59" t="s">
        <v>527</v>
      </c>
      <c r="C14" s="60" t="s">
        <v>528</v>
      </c>
      <c r="D14" s="60" t="s">
        <v>469</v>
      </c>
      <c r="E14" s="58" t="s">
        <v>495</v>
      </c>
      <c r="F14" s="60" t="s">
        <v>529</v>
      </c>
      <c r="G14" s="7" t="s">
        <v>530</v>
      </c>
      <c r="H14" s="7" t="s">
        <v>531</v>
      </c>
    </row>
    <row r="15" customFormat="false" ht="61.5" hidden="false" customHeight="true" outlineLevel="0" collapsed="false">
      <c r="A15" s="61" t="n">
        <v>65</v>
      </c>
      <c r="B15" s="62" t="s">
        <v>532</v>
      </c>
      <c r="C15" s="63" t="s">
        <v>533</v>
      </c>
      <c r="D15" s="63" t="s">
        <v>477</v>
      </c>
      <c r="E15" s="61" t="s">
        <v>534</v>
      </c>
      <c r="F15" s="63" t="s">
        <v>496</v>
      </c>
      <c r="G15" s="7" t="s">
        <v>535</v>
      </c>
      <c r="H15" s="7" t="s">
        <v>536</v>
      </c>
    </row>
    <row r="17" customFormat="false" ht="18" hidden="false" customHeight="true" outlineLevel="0" collapsed="false">
      <c r="A17" s="5" t="s">
        <v>537</v>
      </c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6"/>
      <c r="B18" s="6" t="s">
        <v>538</v>
      </c>
      <c r="C18" s="6" t="s">
        <v>539</v>
      </c>
      <c r="D18" s="6"/>
      <c r="E18" s="6"/>
      <c r="F18" s="6"/>
      <c r="G18" s="6"/>
      <c r="H18" s="6"/>
    </row>
    <row r="19" customFormat="false" ht="51.75" hidden="false" customHeight="true" outlineLevel="0" collapsed="false">
      <c r="B19" s="17" t="s">
        <v>540</v>
      </c>
      <c r="C19" s="7" t="s">
        <v>541</v>
      </c>
      <c r="D19" s="7"/>
      <c r="E19" s="7"/>
      <c r="F19" s="7"/>
      <c r="G19" s="7"/>
      <c r="H19" s="7"/>
    </row>
    <row r="20" customFormat="false" ht="51.75" hidden="false" customHeight="true" outlineLevel="0" collapsed="false">
      <c r="B20" s="17" t="s">
        <v>542</v>
      </c>
      <c r="C20" s="7" t="s">
        <v>543</v>
      </c>
      <c r="D20" s="7"/>
      <c r="E20" s="7"/>
      <c r="F20" s="7"/>
      <c r="G20" s="7"/>
      <c r="H20" s="7"/>
    </row>
    <row r="21" customFormat="false" ht="51.75" hidden="false" customHeight="true" outlineLevel="0" collapsed="false">
      <c r="B21" s="17" t="s">
        <v>544</v>
      </c>
      <c r="C21" s="7" t="s">
        <v>545</v>
      </c>
      <c r="D21" s="7"/>
      <c r="E21" s="7"/>
      <c r="F21" s="7"/>
      <c r="G21" s="7"/>
      <c r="H21" s="7"/>
    </row>
    <row r="22" customFormat="false" ht="51.75" hidden="false" customHeight="true" outlineLevel="0" collapsed="false">
      <c r="B22" s="17" t="s">
        <v>546</v>
      </c>
      <c r="C22" s="7" t="s">
        <v>547</v>
      </c>
      <c r="D22" s="7"/>
      <c r="E22" s="7"/>
      <c r="F22" s="7"/>
      <c r="G22" s="7"/>
      <c r="H22" s="7"/>
    </row>
    <row r="23" customFormat="false" ht="51.75" hidden="false" customHeight="true" outlineLevel="0" collapsed="false">
      <c r="B23" s="17" t="s">
        <v>548</v>
      </c>
      <c r="C23" s="7" t="s">
        <v>549</v>
      </c>
      <c r="D23" s="7"/>
      <c r="E23" s="7"/>
      <c r="F23" s="7"/>
      <c r="G23" s="7"/>
      <c r="H23" s="7"/>
    </row>
    <row r="24" customFormat="false" ht="51.75" hidden="false" customHeight="true" outlineLevel="0" collapsed="false">
      <c r="B24" s="17" t="s">
        <v>550</v>
      </c>
      <c r="C24" s="7" t="s">
        <v>551</v>
      </c>
      <c r="D24" s="7"/>
      <c r="E24" s="7"/>
      <c r="F24" s="7"/>
      <c r="G24" s="7"/>
      <c r="H24" s="7"/>
    </row>
    <row r="25" customFormat="false" ht="51.75" hidden="false" customHeight="true" outlineLevel="0" collapsed="false">
      <c r="B25" s="17" t="s">
        <v>552</v>
      </c>
      <c r="C25" s="7" t="s">
        <v>553</v>
      </c>
      <c r="D25" s="7"/>
      <c r="E25" s="7"/>
      <c r="F25" s="7"/>
      <c r="G25" s="7"/>
      <c r="H25" s="7"/>
    </row>
    <row r="27" customFormat="false" ht="18" hidden="false" customHeight="true" outlineLevel="0" collapsed="false">
      <c r="A27" s="5" t="s">
        <v>554</v>
      </c>
      <c r="B27" s="5"/>
      <c r="C27" s="5"/>
      <c r="D27" s="5"/>
      <c r="E27" s="5"/>
      <c r="F27" s="5"/>
      <c r="G27" s="5"/>
      <c r="H27" s="5"/>
    </row>
    <row r="28" customFormat="false" ht="30" hidden="false" customHeight="true" outlineLevel="0" collapsed="false">
      <c r="A28" s="6"/>
      <c r="B28" s="6" t="s">
        <v>555</v>
      </c>
      <c r="C28" s="6" t="s">
        <v>556</v>
      </c>
      <c r="D28" s="6"/>
      <c r="E28" s="6"/>
      <c r="F28" s="6"/>
      <c r="G28" s="6"/>
      <c r="H28" s="6"/>
    </row>
    <row r="29" customFormat="false" ht="48" hidden="false" customHeight="true" outlineLevel="0" collapsed="false">
      <c r="B29" s="17" t="s">
        <v>557</v>
      </c>
      <c r="C29" s="7" t="s">
        <v>558</v>
      </c>
      <c r="D29" s="7"/>
      <c r="E29" s="7"/>
      <c r="F29" s="7"/>
      <c r="G29" s="7"/>
      <c r="H29" s="7"/>
    </row>
    <row r="30" customFormat="false" ht="48" hidden="false" customHeight="true" outlineLevel="0" collapsed="false">
      <c r="B30" s="17" t="s">
        <v>559</v>
      </c>
      <c r="C30" s="7" t="s">
        <v>560</v>
      </c>
      <c r="D30" s="7"/>
      <c r="E30" s="7"/>
      <c r="F30" s="7"/>
      <c r="G30" s="7"/>
      <c r="H30" s="7"/>
    </row>
    <row r="31" customFormat="false" ht="48" hidden="false" customHeight="true" outlineLevel="0" collapsed="false">
      <c r="B31" s="17" t="s">
        <v>561</v>
      </c>
      <c r="C31" s="7" t="s">
        <v>562</v>
      </c>
      <c r="D31" s="7"/>
      <c r="E31" s="7"/>
      <c r="F31" s="7"/>
      <c r="G31" s="7"/>
      <c r="H31" s="7"/>
    </row>
    <row r="33" customFormat="false" ht="30" hidden="false" customHeight="true" outlineLevel="0" collapsed="false">
      <c r="A33" s="64" t="s">
        <v>563</v>
      </c>
      <c r="B33" s="64"/>
      <c r="C33" s="64"/>
      <c r="D33" s="64"/>
      <c r="E33" s="64"/>
      <c r="F33" s="64"/>
      <c r="G33" s="64"/>
      <c r="H33" s="64"/>
    </row>
  </sheetData>
  <mergeCells count="16">
    <mergeCell ref="A1:H1"/>
    <mergeCell ref="A3:H3"/>
    <mergeCell ref="A5:H5"/>
    <mergeCell ref="A17:H17"/>
    <mergeCell ref="C19:H19"/>
    <mergeCell ref="C20:H20"/>
    <mergeCell ref="C21:H21"/>
    <mergeCell ref="C22:H22"/>
    <mergeCell ref="C23:H23"/>
    <mergeCell ref="C24:H24"/>
    <mergeCell ref="C25:H25"/>
    <mergeCell ref="A27:H27"/>
    <mergeCell ref="C29:H29"/>
    <mergeCell ref="C30:H30"/>
    <mergeCell ref="C31:H3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5"/>
    <col collapsed="false" customWidth="true" hidden="false" outlineLevel="0" max="6" min="6" style="1" width="24"/>
    <col collapsed="false" customWidth="true" hidden="false" outlineLevel="0" max="7" min="7" style="1" width="40"/>
    <col collapsed="false" customWidth="true" hidden="false" outlineLevel="0" max="8" min="8" style="1" width="76"/>
    <col collapsed="false" customWidth="true" hidden="false" outlineLevel="0" max="9" min="9" style="1" width="20"/>
  </cols>
  <sheetData>
    <row r="1" customFormat="false" ht="24" hidden="false" customHeight="true" outlineLevel="0" collapsed="false">
      <c r="A1" s="2" t="s">
        <v>564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8" t="s">
        <v>565</v>
      </c>
      <c r="B2" s="8"/>
      <c r="C2" s="8"/>
      <c r="D2" s="8"/>
      <c r="E2" s="8"/>
      <c r="F2" s="8"/>
      <c r="G2" s="8"/>
      <c r="H2" s="8"/>
      <c r="I2" s="8"/>
    </row>
    <row r="3" customFormat="false" ht="30" hidden="false" customHeight="true" outlineLevel="0" collapsed="false">
      <c r="A3" s="6" t="s">
        <v>73</v>
      </c>
      <c r="B3" s="6" t="s">
        <v>566</v>
      </c>
      <c r="C3" s="6" t="s">
        <v>488</v>
      </c>
      <c r="D3" s="6" t="s">
        <v>567</v>
      </c>
      <c r="E3" s="6" t="s">
        <v>568</v>
      </c>
      <c r="F3" s="6" t="s">
        <v>569</v>
      </c>
      <c r="G3" s="6" t="s">
        <v>570</v>
      </c>
      <c r="H3" s="6" t="s">
        <v>229</v>
      </c>
      <c r="I3" s="6" t="s">
        <v>571</v>
      </c>
    </row>
    <row r="4" customFormat="false" ht="61.5" hidden="false" customHeight="true" outlineLevel="0" collapsed="false">
      <c r="A4" s="16" t="n">
        <v>2</v>
      </c>
      <c r="B4" s="17" t="s">
        <v>572</v>
      </c>
      <c r="C4" s="44" t="s">
        <v>494</v>
      </c>
      <c r="D4" s="19" t="s">
        <v>573</v>
      </c>
      <c r="E4" s="16" t="n">
        <v>3</v>
      </c>
      <c r="F4" s="17" t="s">
        <v>574</v>
      </c>
      <c r="G4" s="7" t="s">
        <v>575</v>
      </c>
      <c r="H4" s="7" t="s">
        <v>576</v>
      </c>
      <c r="I4" s="39" t="s">
        <v>577</v>
      </c>
    </row>
    <row r="5" customFormat="false" ht="61.5" hidden="false" customHeight="true" outlineLevel="0" collapsed="false">
      <c r="A5" s="16" t="n">
        <v>3</v>
      </c>
      <c r="B5" s="17" t="s">
        <v>578</v>
      </c>
      <c r="C5" s="44" t="s">
        <v>494</v>
      </c>
      <c r="D5" s="12" t="s">
        <v>579</v>
      </c>
      <c r="E5" s="16" t="n">
        <v>2</v>
      </c>
      <c r="F5" s="17" t="s">
        <v>580</v>
      </c>
      <c r="G5" s="7" t="s">
        <v>581</v>
      </c>
      <c r="H5" s="7" t="s">
        <v>582</v>
      </c>
      <c r="I5" s="7" t="s">
        <v>99</v>
      </c>
    </row>
    <row r="6" customFormat="false" ht="61.5" hidden="false" customHeight="true" outlineLevel="0" collapsed="false">
      <c r="A6" s="16" t="n">
        <v>4</v>
      </c>
      <c r="B6" s="17" t="s">
        <v>583</v>
      </c>
      <c r="C6" s="44" t="s">
        <v>494</v>
      </c>
      <c r="D6" s="19" t="s">
        <v>573</v>
      </c>
      <c r="E6" s="16" t="n">
        <v>3</v>
      </c>
      <c r="F6" s="17" t="s">
        <v>584</v>
      </c>
      <c r="G6" s="7" t="s">
        <v>585</v>
      </c>
      <c r="H6" s="7" t="s">
        <v>586</v>
      </c>
      <c r="I6" s="39" t="s">
        <v>587</v>
      </c>
    </row>
    <row r="7" customFormat="false" ht="61.5" hidden="false" customHeight="true" outlineLevel="0" collapsed="false">
      <c r="A7" s="16" t="n">
        <v>5</v>
      </c>
      <c r="B7" s="17" t="s">
        <v>588</v>
      </c>
      <c r="C7" s="44" t="s">
        <v>494</v>
      </c>
      <c r="D7" s="57" t="s">
        <v>589</v>
      </c>
      <c r="E7" s="16" t="n">
        <v>1</v>
      </c>
      <c r="F7" s="17" t="s">
        <v>590</v>
      </c>
      <c r="G7" s="7" t="s">
        <v>591</v>
      </c>
      <c r="H7" s="7" t="s">
        <v>592</v>
      </c>
      <c r="I7" s="7" t="s">
        <v>99</v>
      </c>
    </row>
    <row r="8" customFormat="false" ht="61.5" hidden="false" customHeight="true" outlineLevel="0" collapsed="false">
      <c r="A8" s="16" t="n">
        <v>6</v>
      </c>
      <c r="B8" s="17" t="s">
        <v>593</v>
      </c>
      <c r="C8" s="44" t="s">
        <v>494</v>
      </c>
      <c r="D8" s="12" t="s">
        <v>579</v>
      </c>
      <c r="E8" s="16" t="n">
        <v>2</v>
      </c>
      <c r="F8" s="17" t="s">
        <v>594</v>
      </c>
      <c r="G8" s="7" t="s">
        <v>595</v>
      </c>
      <c r="H8" s="7" t="s">
        <v>596</v>
      </c>
      <c r="I8" s="7" t="s">
        <v>99</v>
      </c>
    </row>
    <row r="9" customFormat="false" ht="61.5" hidden="false" customHeight="true" outlineLevel="0" collapsed="false">
      <c r="A9" s="16" t="n">
        <v>7</v>
      </c>
      <c r="B9" s="17" t="s">
        <v>597</v>
      </c>
      <c r="C9" s="44" t="s">
        <v>494</v>
      </c>
      <c r="D9" s="19" t="s">
        <v>573</v>
      </c>
      <c r="E9" s="16" t="n">
        <v>3</v>
      </c>
      <c r="F9" s="17" t="s">
        <v>598</v>
      </c>
      <c r="G9" s="7" t="s">
        <v>599</v>
      </c>
      <c r="H9" s="7" t="s">
        <v>600</v>
      </c>
      <c r="I9" s="39" t="s">
        <v>601</v>
      </c>
    </row>
    <row r="10" customFormat="false" ht="61.5" hidden="false" customHeight="true" outlineLevel="0" collapsed="false">
      <c r="A10" s="16" t="n">
        <v>8</v>
      </c>
      <c r="B10" s="17" t="s">
        <v>602</v>
      </c>
      <c r="C10" s="44" t="s">
        <v>494</v>
      </c>
      <c r="D10" s="12" t="s">
        <v>579</v>
      </c>
      <c r="E10" s="16" t="n">
        <v>2</v>
      </c>
      <c r="F10" s="17" t="s">
        <v>603</v>
      </c>
      <c r="G10" s="7" t="s">
        <v>604</v>
      </c>
      <c r="H10" s="7" t="s">
        <v>605</v>
      </c>
      <c r="I10" s="7" t="s">
        <v>99</v>
      </c>
    </row>
    <row r="11" customFormat="false" ht="61.5" hidden="false" customHeight="true" outlineLevel="0" collapsed="false">
      <c r="A11" s="16" t="n">
        <v>9</v>
      </c>
      <c r="B11" s="17" t="s">
        <v>606</v>
      </c>
      <c r="C11" s="44" t="s">
        <v>494</v>
      </c>
      <c r="D11" s="12" t="s">
        <v>579</v>
      </c>
      <c r="E11" s="16" t="n">
        <v>2</v>
      </c>
      <c r="F11" s="17" t="s">
        <v>607</v>
      </c>
      <c r="G11" s="7" t="s">
        <v>608</v>
      </c>
      <c r="H11" s="7" t="s">
        <v>609</v>
      </c>
      <c r="I11" s="7" t="s">
        <v>99</v>
      </c>
    </row>
    <row r="12" customFormat="false" ht="61.5" hidden="false" customHeight="true" outlineLevel="0" collapsed="false">
      <c r="A12" s="16" t="n">
        <v>10</v>
      </c>
      <c r="B12" s="17" t="s">
        <v>610</v>
      </c>
      <c r="C12" s="44" t="s">
        <v>494</v>
      </c>
      <c r="D12" s="12" t="s">
        <v>579</v>
      </c>
      <c r="E12" s="16" t="n">
        <v>2</v>
      </c>
      <c r="F12" s="17" t="s">
        <v>611</v>
      </c>
      <c r="G12" s="7" t="s">
        <v>612</v>
      </c>
      <c r="H12" s="7" t="s">
        <v>613</v>
      </c>
      <c r="I12" s="7" t="s">
        <v>99</v>
      </c>
    </row>
    <row r="13" customFormat="false" ht="61.5" hidden="false" customHeight="true" outlineLevel="0" collapsed="false">
      <c r="A13" s="16" t="n">
        <v>11</v>
      </c>
      <c r="B13" s="17" t="s">
        <v>614</v>
      </c>
      <c r="C13" s="44" t="s">
        <v>494</v>
      </c>
      <c r="D13" s="19" t="s">
        <v>573</v>
      </c>
      <c r="E13" s="16" t="n">
        <v>3</v>
      </c>
      <c r="F13" s="17" t="s">
        <v>615</v>
      </c>
      <c r="G13" s="7" t="s">
        <v>616</v>
      </c>
      <c r="H13" s="7" t="s">
        <v>617</v>
      </c>
      <c r="I13" s="39" t="s">
        <v>618</v>
      </c>
    </row>
    <row r="14" customFormat="false" ht="61.5" hidden="false" customHeight="true" outlineLevel="0" collapsed="false">
      <c r="A14" s="16" t="n">
        <v>12</v>
      </c>
      <c r="B14" s="17" t="s">
        <v>619</v>
      </c>
      <c r="C14" s="44" t="s">
        <v>494</v>
      </c>
      <c r="D14" s="12" t="s">
        <v>579</v>
      </c>
      <c r="E14" s="16" t="n">
        <v>2</v>
      </c>
      <c r="F14" s="17" t="s">
        <v>620</v>
      </c>
      <c r="G14" s="7" t="s">
        <v>621</v>
      </c>
      <c r="H14" s="7" t="s">
        <v>622</v>
      </c>
      <c r="I14" s="7" t="s">
        <v>99</v>
      </c>
    </row>
    <row r="15" customFormat="false" ht="61.5" hidden="false" customHeight="true" outlineLevel="0" collapsed="false">
      <c r="A15" s="16" t="n">
        <v>13</v>
      </c>
      <c r="B15" s="17" t="s">
        <v>623</v>
      </c>
      <c r="C15" s="44" t="s">
        <v>494</v>
      </c>
      <c r="D15" s="12" t="s">
        <v>579</v>
      </c>
      <c r="E15" s="16" t="n">
        <v>2</v>
      </c>
      <c r="F15" s="17" t="s">
        <v>624</v>
      </c>
      <c r="G15" s="7" t="s">
        <v>625</v>
      </c>
      <c r="H15" s="7" t="s">
        <v>626</v>
      </c>
      <c r="I15" s="7" t="s">
        <v>99</v>
      </c>
    </row>
    <row r="16" customFormat="false" ht="61.5" hidden="false" customHeight="true" outlineLevel="0" collapsed="false">
      <c r="A16" s="16" t="n">
        <v>14</v>
      </c>
      <c r="B16" s="17" t="s">
        <v>627</v>
      </c>
      <c r="C16" s="44" t="s">
        <v>494</v>
      </c>
      <c r="D16" s="12" t="s">
        <v>579</v>
      </c>
      <c r="E16" s="16" t="n">
        <v>2</v>
      </c>
      <c r="F16" s="17" t="s">
        <v>628</v>
      </c>
      <c r="G16" s="7" t="s">
        <v>629</v>
      </c>
      <c r="H16" s="7" t="s">
        <v>630</v>
      </c>
      <c r="I16" s="7" t="s">
        <v>99</v>
      </c>
    </row>
    <row r="17" customFormat="false" ht="61.5" hidden="false" customHeight="true" outlineLevel="0" collapsed="false">
      <c r="A17" s="16" t="n">
        <v>15</v>
      </c>
      <c r="B17" s="17" t="s">
        <v>631</v>
      </c>
      <c r="C17" s="44" t="s">
        <v>494</v>
      </c>
      <c r="D17" s="12" t="s">
        <v>579</v>
      </c>
      <c r="E17" s="16" t="n">
        <v>2</v>
      </c>
      <c r="F17" s="17" t="s">
        <v>632</v>
      </c>
      <c r="G17" s="7" t="s">
        <v>633</v>
      </c>
      <c r="H17" s="7" t="s">
        <v>634</v>
      </c>
      <c r="I17" s="7" t="s">
        <v>99</v>
      </c>
    </row>
    <row r="18" customFormat="false" ht="61.5" hidden="false" customHeight="true" outlineLevel="0" collapsed="false">
      <c r="A18" s="16" t="n">
        <v>16</v>
      </c>
      <c r="B18" s="17" t="s">
        <v>635</v>
      </c>
      <c r="C18" s="44" t="s">
        <v>494</v>
      </c>
      <c r="D18" s="19" t="s">
        <v>573</v>
      </c>
      <c r="E18" s="16" t="n">
        <v>3</v>
      </c>
      <c r="F18" s="17" t="s">
        <v>636</v>
      </c>
      <c r="G18" s="7" t="s">
        <v>637</v>
      </c>
      <c r="H18" s="7" t="s">
        <v>638</v>
      </c>
      <c r="I18" s="39" t="s">
        <v>639</v>
      </c>
    </row>
    <row r="19" customFormat="false" ht="61.5" hidden="false" customHeight="true" outlineLevel="0" collapsed="false">
      <c r="A19" s="16" t="n">
        <v>17</v>
      </c>
      <c r="B19" s="17" t="s">
        <v>640</v>
      </c>
      <c r="C19" s="44" t="s">
        <v>494</v>
      </c>
      <c r="D19" s="12" t="s">
        <v>579</v>
      </c>
      <c r="E19" s="16" t="n">
        <v>2</v>
      </c>
      <c r="F19" s="17" t="s">
        <v>641</v>
      </c>
      <c r="G19" s="7" t="s">
        <v>642</v>
      </c>
      <c r="H19" s="7" t="s">
        <v>643</v>
      </c>
      <c r="I19" s="7" t="s">
        <v>99</v>
      </c>
    </row>
    <row r="20" customFormat="false" ht="61.5" hidden="false" customHeight="true" outlineLevel="0" collapsed="false">
      <c r="A20" s="16" t="n">
        <v>18</v>
      </c>
      <c r="B20" s="17" t="s">
        <v>644</v>
      </c>
      <c r="C20" s="44" t="s">
        <v>494</v>
      </c>
      <c r="D20" s="12" t="s">
        <v>579</v>
      </c>
      <c r="E20" s="16" t="n">
        <v>2</v>
      </c>
      <c r="F20" s="17" t="s">
        <v>645</v>
      </c>
      <c r="G20" s="7" t="s">
        <v>646</v>
      </c>
      <c r="H20" s="7" t="s">
        <v>647</v>
      </c>
      <c r="I20" s="7" t="s">
        <v>99</v>
      </c>
    </row>
    <row r="21" customFormat="false" ht="61.5" hidden="false" customHeight="true" outlineLevel="0" collapsed="false">
      <c r="A21" s="16" t="n">
        <v>19</v>
      </c>
      <c r="B21" s="17" t="s">
        <v>648</v>
      </c>
      <c r="C21" s="44" t="s">
        <v>494</v>
      </c>
      <c r="D21" s="57" t="s">
        <v>589</v>
      </c>
      <c r="E21" s="16" t="n">
        <v>1</v>
      </c>
      <c r="F21" s="17" t="s">
        <v>649</v>
      </c>
      <c r="G21" s="7" t="s">
        <v>650</v>
      </c>
      <c r="H21" s="7" t="s">
        <v>651</v>
      </c>
      <c r="I21" s="7" t="s">
        <v>99</v>
      </c>
    </row>
    <row r="22" customFormat="false" ht="61.5" hidden="false" customHeight="true" outlineLevel="0" collapsed="false">
      <c r="A22" s="16" t="n">
        <v>20</v>
      </c>
      <c r="B22" s="17" t="s">
        <v>652</v>
      </c>
      <c r="C22" s="50" t="s">
        <v>505</v>
      </c>
      <c r="D22" s="19" t="s">
        <v>573</v>
      </c>
      <c r="E22" s="16" t="n">
        <v>3</v>
      </c>
      <c r="F22" s="17" t="s">
        <v>653</v>
      </c>
      <c r="G22" s="7" t="s">
        <v>654</v>
      </c>
      <c r="H22" s="7" t="s">
        <v>655</v>
      </c>
      <c r="I22" s="39" t="s">
        <v>656</v>
      </c>
    </row>
    <row r="23" customFormat="false" ht="61.5" hidden="false" customHeight="true" outlineLevel="0" collapsed="false">
      <c r="A23" s="16" t="n">
        <v>21</v>
      </c>
      <c r="B23" s="17" t="s">
        <v>657</v>
      </c>
      <c r="C23" s="50" t="s">
        <v>505</v>
      </c>
      <c r="D23" s="12" t="s">
        <v>579</v>
      </c>
      <c r="E23" s="16" t="n">
        <v>2</v>
      </c>
      <c r="F23" s="17" t="s">
        <v>658</v>
      </c>
      <c r="G23" s="7" t="s">
        <v>659</v>
      </c>
      <c r="H23" s="7" t="s">
        <v>660</v>
      </c>
      <c r="I23" s="7" t="s">
        <v>99</v>
      </c>
    </row>
    <row r="24" customFormat="false" ht="61.5" hidden="false" customHeight="true" outlineLevel="0" collapsed="false">
      <c r="A24" s="16" t="n">
        <v>22</v>
      </c>
      <c r="B24" s="17" t="s">
        <v>661</v>
      </c>
      <c r="C24" s="50" t="s">
        <v>505</v>
      </c>
      <c r="D24" s="19" t="s">
        <v>573</v>
      </c>
      <c r="E24" s="16" t="n">
        <v>3</v>
      </c>
      <c r="F24" s="17" t="s">
        <v>662</v>
      </c>
      <c r="G24" s="7" t="s">
        <v>663</v>
      </c>
      <c r="H24" s="7" t="s">
        <v>664</v>
      </c>
      <c r="I24" s="39" t="s">
        <v>665</v>
      </c>
    </row>
    <row r="25" customFormat="false" ht="61.5" hidden="false" customHeight="true" outlineLevel="0" collapsed="false">
      <c r="A25" s="16" t="n">
        <v>23</v>
      </c>
      <c r="B25" s="17" t="s">
        <v>666</v>
      </c>
      <c r="C25" s="50" t="s">
        <v>505</v>
      </c>
      <c r="D25" s="12" t="s">
        <v>579</v>
      </c>
      <c r="E25" s="16" t="n">
        <v>2</v>
      </c>
      <c r="F25" s="17" t="s">
        <v>667</v>
      </c>
      <c r="G25" s="7" t="s">
        <v>668</v>
      </c>
      <c r="H25" s="7" t="s">
        <v>669</v>
      </c>
      <c r="I25" s="7" t="s">
        <v>99</v>
      </c>
    </row>
    <row r="26" customFormat="false" ht="61.5" hidden="false" customHeight="true" outlineLevel="0" collapsed="false">
      <c r="A26" s="16" t="n">
        <v>24</v>
      </c>
      <c r="B26" s="17" t="s">
        <v>670</v>
      </c>
      <c r="C26" s="50" t="s">
        <v>505</v>
      </c>
      <c r="D26" s="12" t="s">
        <v>579</v>
      </c>
      <c r="E26" s="16" t="n">
        <v>2</v>
      </c>
      <c r="F26" s="17" t="s">
        <v>671</v>
      </c>
      <c r="G26" s="7" t="s">
        <v>672</v>
      </c>
      <c r="H26" s="7" t="s">
        <v>673</v>
      </c>
      <c r="I26" s="7" t="s">
        <v>99</v>
      </c>
    </row>
    <row r="27" customFormat="false" ht="61.5" hidden="false" customHeight="true" outlineLevel="0" collapsed="false">
      <c r="A27" s="16" t="n">
        <v>25</v>
      </c>
      <c r="B27" s="17" t="s">
        <v>674</v>
      </c>
      <c r="C27" s="50" t="s">
        <v>505</v>
      </c>
      <c r="D27" s="12" t="s">
        <v>579</v>
      </c>
      <c r="E27" s="16" t="n">
        <v>2</v>
      </c>
      <c r="F27" s="17" t="s">
        <v>675</v>
      </c>
      <c r="G27" s="7" t="s">
        <v>676</v>
      </c>
      <c r="H27" s="7" t="s">
        <v>677</v>
      </c>
      <c r="I27" s="7" t="s">
        <v>99</v>
      </c>
    </row>
    <row r="28" customFormat="false" ht="61.5" hidden="false" customHeight="true" outlineLevel="0" collapsed="false">
      <c r="A28" s="16" t="n">
        <v>26</v>
      </c>
      <c r="B28" s="17" t="s">
        <v>678</v>
      </c>
      <c r="C28" s="50" t="s">
        <v>505</v>
      </c>
      <c r="D28" s="12" t="s">
        <v>579</v>
      </c>
      <c r="E28" s="16" t="n">
        <v>2</v>
      </c>
      <c r="F28" s="17" t="s">
        <v>679</v>
      </c>
      <c r="G28" s="7" t="s">
        <v>680</v>
      </c>
      <c r="H28" s="7" t="s">
        <v>681</v>
      </c>
      <c r="I28" s="7" t="s">
        <v>99</v>
      </c>
    </row>
    <row r="29" customFormat="false" ht="61.5" hidden="false" customHeight="true" outlineLevel="0" collapsed="false">
      <c r="A29" s="16" t="n">
        <v>28</v>
      </c>
      <c r="B29" s="17" t="s">
        <v>682</v>
      </c>
      <c r="C29" s="50" t="s">
        <v>505</v>
      </c>
      <c r="D29" s="57" t="s">
        <v>589</v>
      </c>
      <c r="E29" s="16" t="n">
        <v>1</v>
      </c>
      <c r="F29" s="17" t="s">
        <v>683</v>
      </c>
      <c r="G29" s="7" t="s">
        <v>684</v>
      </c>
      <c r="H29" s="7" t="s">
        <v>685</v>
      </c>
      <c r="I29" s="7" t="s">
        <v>99</v>
      </c>
    </row>
    <row r="30" customFormat="false" ht="61.5" hidden="false" customHeight="true" outlineLevel="0" collapsed="false">
      <c r="A30" s="16" t="n">
        <v>29</v>
      </c>
      <c r="B30" s="17" t="s">
        <v>686</v>
      </c>
      <c r="C30" s="50" t="s">
        <v>505</v>
      </c>
      <c r="D30" s="57" t="s">
        <v>589</v>
      </c>
      <c r="E30" s="16" t="n">
        <v>1</v>
      </c>
      <c r="F30" s="17" t="s">
        <v>687</v>
      </c>
      <c r="G30" s="7" t="s">
        <v>688</v>
      </c>
      <c r="H30" s="7" t="s">
        <v>689</v>
      </c>
      <c r="I30" s="7" t="s">
        <v>99</v>
      </c>
    </row>
    <row r="31" customFormat="false" ht="61.5" hidden="false" customHeight="true" outlineLevel="0" collapsed="false">
      <c r="A31" s="16" t="n">
        <v>30</v>
      </c>
      <c r="B31" s="17" t="s">
        <v>690</v>
      </c>
      <c r="C31" s="50" t="s">
        <v>505</v>
      </c>
      <c r="D31" s="12" t="s">
        <v>579</v>
      </c>
      <c r="E31" s="16" t="n">
        <v>2</v>
      </c>
      <c r="F31" s="17" t="s">
        <v>691</v>
      </c>
      <c r="G31" s="7" t="s">
        <v>692</v>
      </c>
      <c r="H31" s="7" t="s">
        <v>693</v>
      </c>
      <c r="I31" s="39" t="s">
        <v>694</v>
      </c>
    </row>
    <row r="32" customFormat="false" ht="61.5" hidden="false" customHeight="true" outlineLevel="0" collapsed="false">
      <c r="A32" s="16" t="n">
        <v>31</v>
      </c>
      <c r="B32" s="17" t="s">
        <v>695</v>
      </c>
      <c r="C32" s="50" t="s">
        <v>505</v>
      </c>
      <c r="D32" s="57" t="s">
        <v>589</v>
      </c>
      <c r="E32" s="16" t="n">
        <v>1</v>
      </c>
      <c r="F32" s="17" t="s">
        <v>696</v>
      </c>
      <c r="G32" s="7" t="s">
        <v>697</v>
      </c>
      <c r="H32" s="7" t="s">
        <v>698</v>
      </c>
      <c r="I32" s="7" t="s">
        <v>99</v>
      </c>
    </row>
    <row r="33" customFormat="false" ht="61.5" hidden="false" customHeight="true" outlineLevel="0" collapsed="false">
      <c r="A33" s="16" t="n">
        <v>32</v>
      </c>
      <c r="B33" s="17" t="s">
        <v>699</v>
      </c>
      <c r="C33" s="50" t="s">
        <v>505</v>
      </c>
      <c r="D33" s="12" t="s">
        <v>579</v>
      </c>
      <c r="E33" s="16" t="n">
        <v>2</v>
      </c>
      <c r="F33" s="17" t="s">
        <v>700</v>
      </c>
      <c r="G33" s="7" t="s">
        <v>701</v>
      </c>
      <c r="H33" s="7" t="s">
        <v>702</v>
      </c>
      <c r="I33" s="7" t="s">
        <v>99</v>
      </c>
    </row>
    <row r="34" customFormat="false" ht="61.5" hidden="false" customHeight="true" outlineLevel="0" collapsed="false">
      <c r="A34" s="16" t="n">
        <v>33</v>
      </c>
      <c r="B34" s="17" t="s">
        <v>703</v>
      </c>
      <c r="C34" s="14" t="s">
        <v>510</v>
      </c>
      <c r="D34" s="12" t="s">
        <v>579</v>
      </c>
      <c r="E34" s="16" t="n">
        <v>2</v>
      </c>
      <c r="F34" s="17" t="s">
        <v>704</v>
      </c>
      <c r="G34" s="7" t="s">
        <v>705</v>
      </c>
      <c r="H34" s="7" t="s">
        <v>706</v>
      </c>
      <c r="I34" s="7" t="s">
        <v>99</v>
      </c>
    </row>
    <row r="35" customFormat="false" ht="61.5" hidden="false" customHeight="true" outlineLevel="0" collapsed="false">
      <c r="A35" s="16" t="n">
        <v>34</v>
      </c>
      <c r="B35" s="17" t="s">
        <v>707</v>
      </c>
      <c r="C35" s="14" t="s">
        <v>510</v>
      </c>
      <c r="D35" s="19" t="s">
        <v>573</v>
      </c>
      <c r="E35" s="16" t="n">
        <v>3</v>
      </c>
      <c r="F35" s="17" t="s">
        <v>708</v>
      </c>
      <c r="G35" s="7" t="s">
        <v>709</v>
      </c>
      <c r="H35" s="7" t="s">
        <v>710</v>
      </c>
      <c r="I35" s="39" t="s">
        <v>711</v>
      </c>
    </row>
    <row r="36" customFormat="false" ht="61.5" hidden="false" customHeight="true" outlineLevel="0" collapsed="false">
      <c r="A36" s="16" t="n">
        <v>35</v>
      </c>
      <c r="B36" s="17" t="s">
        <v>712</v>
      </c>
      <c r="C36" s="14" t="s">
        <v>510</v>
      </c>
      <c r="D36" s="19" t="s">
        <v>573</v>
      </c>
      <c r="E36" s="16" t="n">
        <v>3</v>
      </c>
      <c r="F36" s="17" t="s">
        <v>713</v>
      </c>
      <c r="G36" s="7" t="s">
        <v>714</v>
      </c>
      <c r="H36" s="7" t="s">
        <v>715</v>
      </c>
      <c r="I36" s="39" t="s">
        <v>716</v>
      </c>
    </row>
    <row r="37" customFormat="false" ht="61.5" hidden="false" customHeight="true" outlineLevel="0" collapsed="false">
      <c r="A37" s="16" t="n">
        <v>36</v>
      </c>
      <c r="B37" s="17" t="s">
        <v>717</v>
      </c>
      <c r="C37" s="14" t="s">
        <v>510</v>
      </c>
      <c r="D37" s="12" t="s">
        <v>579</v>
      </c>
      <c r="E37" s="16" t="n">
        <v>2</v>
      </c>
      <c r="F37" s="17" t="s">
        <v>718</v>
      </c>
      <c r="G37" s="7" t="s">
        <v>719</v>
      </c>
      <c r="H37" s="7" t="s">
        <v>720</v>
      </c>
      <c r="I37" s="7" t="s">
        <v>99</v>
      </c>
    </row>
    <row r="38" customFormat="false" ht="61.5" hidden="false" customHeight="true" outlineLevel="0" collapsed="false">
      <c r="A38" s="16" t="n">
        <v>37</v>
      </c>
      <c r="B38" s="17" t="s">
        <v>721</v>
      </c>
      <c r="C38" s="14" t="s">
        <v>510</v>
      </c>
      <c r="D38" s="19" t="s">
        <v>573</v>
      </c>
      <c r="E38" s="16" t="n">
        <v>3</v>
      </c>
      <c r="F38" s="17" t="s">
        <v>722</v>
      </c>
      <c r="G38" s="7" t="s">
        <v>723</v>
      </c>
      <c r="H38" s="7" t="s">
        <v>724</v>
      </c>
      <c r="I38" s="39" t="s">
        <v>725</v>
      </c>
    </row>
    <row r="39" customFormat="false" ht="61.5" hidden="false" customHeight="true" outlineLevel="0" collapsed="false">
      <c r="A39" s="16" t="n">
        <v>38</v>
      </c>
      <c r="B39" s="17" t="s">
        <v>726</v>
      </c>
      <c r="C39" s="14" t="s">
        <v>510</v>
      </c>
      <c r="D39" s="12" t="s">
        <v>579</v>
      </c>
      <c r="E39" s="16" t="n">
        <v>2</v>
      </c>
      <c r="F39" s="17" t="s">
        <v>727</v>
      </c>
      <c r="G39" s="7" t="s">
        <v>728</v>
      </c>
      <c r="H39" s="7" t="s">
        <v>729</v>
      </c>
      <c r="I39" s="7" t="s">
        <v>99</v>
      </c>
    </row>
    <row r="40" customFormat="false" ht="61.5" hidden="false" customHeight="true" outlineLevel="0" collapsed="false">
      <c r="A40" s="16" t="n">
        <v>40</v>
      </c>
      <c r="B40" s="17" t="s">
        <v>730</v>
      </c>
      <c r="C40" s="14" t="s">
        <v>510</v>
      </c>
      <c r="D40" s="12" t="s">
        <v>579</v>
      </c>
      <c r="E40" s="16" t="n">
        <v>2</v>
      </c>
      <c r="F40" s="17" t="s">
        <v>731</v>
      </c>
      <c r="G40" s="7" t="s">
        <v>732</v>
      </c>
      <c r="H40" s="7" t="s">
        <v>733</v>
      </c>
      <c r="I40" s="7" t="s">
        <v>99</v>
      </c>
    </row>
    <row r="41" customFormat="false" ht="61.5" hidden="false" customHeight="true" outlineLevel="0" collapsed="false">
      <c r="A41" s="16" t="n">
        <v>41</v>
      </c>
      <c r="B41" s="17" t="s">
        <v>734</v>
      </c>
      <c r="C41" s="14" t="s">
        <v>510</v>
      </c>
      <c r="D41" s="57" t="s">
        <v>589</v>
      </c>
      <c r="E41" s="16" t="n">
        <v>1</v>
      </c>
      <c r="F41" s="17" t="s">
        <v>735</v>
      </c>
      <c r="G41" s="7" t="s">
        <v>736</v>
      </c>
      <c r="H41" s="7" t="s">
        <v>737</v>
      </c>
      <c r="I41" s="7" t="s">
        <v>99</v>
      </c>
    </row>
    <row r="42" customFormat="false" ht="61.5" hidden="false" customHeight="true" outlineLevel="0" collapsed="false">
      <c r="A42" s="16" t="n">
        <v>42</v>
      </c>
      <c r="B42" s="17" t="s">
        <v>738</v>
      </c>
      <c r="C42" s="14" t="s">
        <v>510</v>
      </c>
      <c r="D42" s="12" t="s">
        <v>579</v>
      </c>
      <c r="E42" s="16" t="n">
        <v>2</v>
      </c>
      <c r="F42" s="17" t="s">
        <v>739</v>
      </c>
      <c r="G42" s="7" t="s">
        <v>740</v>
      </c>
      <c r="H42" s="7" t="s">
        <v>741</v>
      </c>
      <c r="I42" s="7" t="s">
        <v>99</v>
      </c>
    </row>
    <row r="43" customFormat="false" ht="61.5" hidden="false" customHeight="true" outlineLevel="0" collapsed="false">
      <c r="A43" s="16" t="n">
        <v>43</v>
      </c>
      <c r="B43" s="17" t="s">
        <v>742</v>
      </c>
      <c r="C43" s="14" t="s">
        <v>510</v>
      </c>
      <c r="D43" s="12" t="s">
        <v>579</v>
      </c>
      <c r="E43" s="16" t="n">
        <v>2</v>
      </c>
      <c r="F43" s="17" t="s">
        <v>743</v>
      </c>
      <c r="G43" s="7" t="s">
        <v>744</v>
      </c>
      <c r="H43" s="7" t="s">
        <v>745</v>
      </c>
      <c r="I43" s="7" t="s">
        <v>99</v>
      </c>
    </row>
    <row r="44" customFormat="false" ht="61.5" hidden="false" customHeight="true" outlineLevel="0" collapsed="false">
      <c r="A44" s="16" t="n">
        <v>44</v>
      </c>
      <c r="B44" s="17" t="s">
        <v>746</v>
      </c>
      <c r="C44" s="14" t="s">
        <v>510</v>
      </c>
      <c r="D44" s="57" t="s">
        <v>589</v>
      </c>
      <c r="E44" s="16" t="n">
        <v>1</v>
      </c>
      <c r="F44" s="17" t="s">
        <v>747</v>
      </c>
      <c r="G44" s="7" t="s">
        <v>748</v>
      </c>
      <c r="H44" s="7" t="s">
        <v>749</v>
      </c>
      <c r="I44" s="7" t="s">
        <v>99</v>
      </c>
    </row>
    <row r="45" customFormat="false" ht="61.5" hidden="false" customHeight="true" outlineLevel="0" collapsed="false">
      <c r="A45" s="16" t="n">
        <v>45</v>
      </c>
      <c r="B45" s="17" t="s">
        <v>750</v>
      </c>
      <c r="C45" s="14" t="s">
        <v>510</v>
      </c>
      <c r="D45" s="57" t="s">
        <v>589</v>
      </c>
      <c r="E45" s="16" t="n">
        <v>1</v>
      </c>
      <c r="F45" s="17" t="s">
        <v>751</v>
      </c>
      <c r="G45" s="7" t="s">
        <v>752</v>
      </c>
      <c r="H45" s="7" t="s">
        <v>753</v>
      </c>
      <c r="I45" s="7" t="s">
        <v>99</v>
      </c>
    </row>
    <row r="46" customFormat="false" ht="61.5" hidden="false" customHeight="true" outlineLevel="0" collapsed="false">
      <c r="A46" s="16" t="n">
        <v>46</v>
      </c>
      <c r="B46" s="17" t="s">
        <v>754</v>
      </c>
      <c r="C46" s="14" t="s">
        <v>510</v>
      </c>
      <c r="D46" s="12" t="s">
        <v>579</v>
      </c>
      <c r="E46" s="16" t="n">
        <v>2</v>
      </c>
      <c r="F46" s="17" t="s">
        <v>755</v>
      </c>
      <c r="G46" s="7" t="s">
        <v>756</v>
      </c>
      <c r="H46" s="7" t="s">
        <v>757</v>
      </c>
      <c r="I46" s="39" t="s">
        <v>758</v>
      </c>
    </row>
    <row r="47" customFormat="false" ht="61.5" hidden="false" customHeight="true" outlineLevel="0" collapsed="false">
      <c r="A47" s="16" t="n">
        <v>47</v>
      </c>
      <c r="B47" s="17" t="s">
        <v>759</v>
      </c>
      <c r="C47" s="60" t="s">
        <v>528</v>
      </c>
      <c r="D47" s="12" t="s">
        <v>579</v>
      </c>
      <c r="E47" s="16" t="n">
        <v>2</v>
      </c>
      <c r="F47" s="17" t="s">
        <v>760</v>
      </c>
      <c r="G47" s="7" t="s">
        <v>761</v>
      </c>
      <c r="H47" s="7" t="s">
        <v>762</v>
      </c>
      <c r="I47" s="7" t="s">
        <v>99</v>
      </c>
    </row>
    <row r="48" customFormat="false" ht="61.5" hidden="false" customHeight="true" outlineLevel="0" collapsed="false">
      <c r="A48" s="16" t="n">
        <v>48</v>
      </c>
      <c r="B48" s="17" t="s">
        <v>763</v>
      </c>
      <c r="C48" s="60" t="s">
        <v>528</v>
      </c>
      <c r="D48" s="19" t="s">
        <v>573</v>
      </c>
      <c r="E48" s="16" t="n">
        <v>3</v>
      </c>
      <c r="F48" s="17" t="s">
        <v>764</v>
      </c>
      <c r="G48" s="7" t="s">
        <v>765</v>
      </c>
      <c r="H48" s="7" t="s">
        <v>766</v>
      </c>
      <c r="I48" s="39" t="s">
        <v>767</v>
      </c>
    </row>
    <row r="49" customFormat="false" ht="61.5" hidden="false" customHeight="true" outlineLevel="0" collapsed="false">
      <c r="A49" s="16" t="n">
        <v>49</v>
      </c>
      <c r="B49" s="17" t="s">
        <v>768</v>
      </c>
      <c r="C49" s="60" t="s">
        <v>528</v>
      </c>
      <c r="D49" s="12" t="s">
        <v>579</v>
      </c>
      <c r="E49" s="16" t="n">
        <v>2</v>
      </c>
      <c r="F49" s="17" t="s">
        <v>769</v>
      </c>
      <c r="G49" s="7" t="s">
        <v>770</v>
      </c>
      <c r="H49" s="7" t="s">
        <v>771</v>
      </c>
      <c r="I49" s="7" t="s">
        <v>99</v>
      </c>
    </row>
    <row r="50" customFormat="false" ht="61.5" hidden="false" customHeight="true" outlineLevel="0" collapsed="false">
      <c r="A50" s="16" t="n">
        <v>50</v>
      </c>
      <c r="B50" s="17" t="s">
        <v>772</v>
      </c>
      <c r="C50" s="60" t="s">
        <v>528</v>
      </c>
      <c r="D50" s="19" t="s">
        <v>573</v>
      </c>
      <c r="E50" s="16" t="n">
        <v>3</v>
      </c>
      <c r="F50" s="17" t="s">
        <v>773</v>
      </c>
      <c r="G50" s="7" t="s">
        <v>774</v>
      </c>
      <c r="H50" s="7" t="s">
        <v>775</v>
      </c>
      <c r="I50" s="39" t="s">
        <v>767</v>
      </c>
    </row>
    <row r="51" customFormat="false" ht="61.5" hidden="false" customHeight="true" outlineLevel="0" collapsed="false">
      <c r="A51" s="16" t="n">
        <v>51</v>
      </c>
      <c r="B51" s="17" t="s">
        <v>776</v>
      </c>
      <c r="C51" s="60" t="s">
        <v>528</v>
      </c>
      <c r="D51" s="12" t="s">
        <v>579</v>
      </c>
      <c r="E51" s="16" t="n">
        <v>2</v>
      </c>
      <c r="F51" s="17" t="s">
        <v>777</v>
      </c>
      <c r="G51" s="7" t="s">
        <v>778</v>
      </c>
      <c r="H51" s="7" t="s">
        <v>779</v>
      </c>
      <c r="I51" s="39" t="s">
        <v>780</v>
      </c>
    </row>
    <row r="52" customFormat="false" ht="61.5" hidden="false" customHeight="true" outlineLevel="0" collapsed="false">
      <c r="A52" s="16" t="n">
        <v>52</v>
      </c>
      <c r="B52" s="17" t="s">
        <v>781</v>
      </c>
      <c r="C52" s="60" t="s">
        <v>528</v>
      </c>
      <c r="D52" s="57" t="s">
        <v>589</v>
      </c>
      <c r="E52" s="16" t="n">
        <v>1</v>
      </c>
      <c r="F52" s="17" t="s">
        <v>782</v>
      </c>
      <c r="G52" s="7" t="s">
        <v>783</v>
      </c>
      <c r="H52" s="7" t="s">
        <v>784</v>
      </c>
      <c r="I52" s="7" t="s">
        <v>99</v>
      </c>
    </row>
    <row r="53" customFormat="false" ht="61.5" hidden="false" customHeight="true" outlineLevel="0" collapsed="false">
      <c r="A53" s="16" t="n">
        <v>54</v>
      </c>
      <c r="B53" s="17" t="s">
        <v>785</v>
      </c>
      <c r="C53" s="60" t="s">
        <v>528</v>
      </c>
      <c r="D53" s="57" t="s">
        <v>589</v>
      </c>
      <c r="E53" s="16" t="n">
        <v>1</v>
      </c>
      <c r="F53" s="17" t="s">
        <v>786</v>
      </c>
      <c r="G53" s="7" t="s">
        <v>787</v>
      </c>
      <c r="H53" s="7" t="s">
        <v>788</v>
      </c>
      <c r="I53" s="7" t="s">
        <v>99</v>
      </c>
    </row>
    <row r="54" customFormat="false" ht="61.5" hidden="false" customHeight="true" outlineLevel="0" collapsed="false">
      <c r="A54" s="16" t="n">
        <v>55</v>
      </c>
      <c r="B54" s="17" t="s">
        <v>789</v>
      </c>
      <c r="C54" s="60" t="s">
        <v>528</v>
      </c>
      <c r="D54" s="12" t="s">
        <v>579</v>
      </c>
      <c r="E54" s="16" t="n">
        <v>2</v>
      </c>
      <c r="F54" s="17" t="s">
        <v>790</v>
      </c>
      <c r="G54" s="7" t="s">
        <v>791</v>
      </c>
      <c r="H54" s="7" t="s">
        <v>792</v>
      </c>
      <c r="I54" s="7" t="s">
        <v>99</v>
      </c>
    </row>
    <row r="55" customFormat="false" ht="61.5" hidden="false" customHeight="true" outlineLevel="0" collapsed="false">
      <c r="A55" s="16" t="n">
        <v>56</v>
      </c>
      <c r="B55" s="17" t="s">
        <v>793</v>
      </c>
      <c r="C55" s="60" t="s">
        <v>528</v>
      </c>
      <c r="D55" s="12" t="s">
        <v>579</v>
      </c>
      <c r="E55" s="16" t="n">
        <v>2</v>
      </c>
      <c r="F55" s="17" t="s">
        <v>794</v>
      </c>
      <c r="G55" s="7" t="s">
        <v>795</v>
      </c>
      <c r="H55" s="7" t="s">
        <v>796</v>
      </c>
      <c r="I55" s="39" t="s">
        <v>797</v>
      </c>
    </row>
    <row r="56" customFormat="false" ht="61.5" hidden="false" customHeight="true" outlineLevel="0" collapsed="false">
      <c r="A56" s="16" t="n">
        <v>57</v>
      </c>
      <c r="B56" s="17" t="s">
        <v>798</v>
      </c>
      <c r="C56" s="60" t="s">
        <v>528</v>
      </c>
      <c r="D56" s="57" t="s">
        <v>589</v>
      </c>
      <c r="E56" s="16" t="n">
        <v>1</v>
      </c>
      <c r="F56" s="17" t="s">
        <v>799</v>
      </c>
      <c r="G56" s="7" t="s">
        <v>800</v>
      </c>
      <c r="H56" s="7" t="s">
        <v>801</v>
      </c>
      <c r="I56" s="7" t="s">
        <v>99</v>
      </c>
    </row>
    <row r="57" customFormat="false" ht="61.5" hidden="false" customHeight="true" outlineLevel="0" collapsed="false">
      <c r="A57" s="16" t="n">
        <v>58</v>
      </c>
      <c r="B57" s="17" t="s">
        <v>802</v>
      </c>
      <c r="C57" s="60" t="s">
        <v>528</v>
      </c>
      <c r="D57" s="57" t="s">
        <v>589</v>
      </c>
      <c r="E57" s="16" t="n">
        <v>1</v>
      </c>
      <c r="F57" s="17" t="s">
        <v>803</v>
      </c>
      <c r="G57" s="7" t="s">
        <v>804</v>
      </c>
      <c r="H57" s="7" t="s">
        <v>805</v>
      </c>
      <c r="I57" s="7" t="s">
        <v>99</v>
      </c>
    </row>
    <row r="58" customFormat="false" ht="61.5" hidden="false" customHeight="true" outlineLevel="0" collapsed="false">
      <c r="A58" s="16" t="n">
        <v>59</v>
      </c>
      <c r="B58" s="17" t="s">
        <v>806</v>
      </c>
      <c r="C58" s="60" t="s">
        <v>528</v>
      </c>
      <c r="D58" s="12" t="s">
        <v>579</v>
      </c>
      <c r="E58" s="16" t="n">
        <v>2</v>
      </c>
      <c r="F58" s="17" t="s">
        <v>807</v>
      </c>
      <c r="G58" s="7" t="s">
        <v>808</v>
      </c>
      <c r="H58" s="7" t="s">
        <v>809</v>
      </c>
      <c r="I58" s="7" t="s">
        <v>99</v>
      </c>
    </row>
    <row r="59" customFormat="false" ht="61.5" hidden="false" customHeight="true" outlineLevel="0" collapsed="false">
      <c r="A59" s="16" t="n">
        <v>60</v>
      </c>
      <c r="B59" s="17" t="s">
        <v>810</v>
      </c>
      <c r="C59" s="60" t="s">
        <v>528</v>
      </c>
      <c r="D59" s="12" t="s">
        <v>579</v>
      </c>
      <c r="E59" s="16" t="n">
        <v>2</v>
      </c>
      <c r="F59" s="17" t="s">
        <v>811</v>
      </c>
      <c r="G59" s="7" t="s">
        <v>812</v>
      </c>
      <c r="H59" s="7" t="s">
        <v>813</v>
      </c>
      <c r="I59" s="7" t="s">
        <v>99</v>
      </c>
    </row>
    <row r="60" customFormat="false" ht="61.5" hidden="false" customHeight="true" outlineLevel="0" collapsed="false">
      <c r="A60" s="16" t="n">
        <v>61</v>
      </c>
      <c r="B60" s="17" t="s">
        <v>814</v>
      </c>
      <c r="C60" s="63" t="s">
        <v>533</v>
      </c>
      <c r="D60" s="12" t="s">
        <v>579</v>
      </c>
      <c r="E60" s="16" t="n">
        <v>2</v>
      </c>
      <c r="F60" s="17" t="s">
        <v>815</v>
      </c>
      <c r="G60" s="7" t="s">
        <v>816</v>
      </c>
      <c r="H60" s="7" t="s">
        <v>817</v>
      </c>
      <c r="I60" s="7" t="s">
        <v>99</v>
      </c>
    </row>
    <row r="61" customFormat="false" ht="61.5" hidden="false" customHeight="true" outlineLevel="0" collapsed="false">
      <c r="A61" s="16" t="n">
        <v>62</v>
      </c>
      <c r="B61" s="17" t="s">
        <v>818</v>
      </c>
      <c r="C61" s="63" t="s">
        <v>533</v>
      </c>
      <c r="D61" s="19" t="s">
        <v>573</v>
      </c>
      <c r="E61" s="16" t="n">
        <v>3</v>
      </c>
      <c r="F61" s="17" t="s">
        <v>819</v>
      </c>
      <c r="G61" s="7" t="s">
        <v>820</v>
      </c>
      <c r="H61" s="7" t="s">
        <v>821</v>
      </c>
      <c r="I61" s="39" t="s">
        <v>822</v>
      </c>
    </row>
    <row r="62" customFormat="false" ht="61.5" hidden="false" customHeight="true" outlineLevel="0" collapsed="false">
      <c r="A62" s="16" t="n">
        <v>63</v>
      </c>
      <c r="B62" s="17" t="s">
        <v>823</v>
      </c>
      <c r="C62" s="63" t="s">
        <v>533</v>
      </c>
      <c r="D62" s="12" t="s">
        <v>579</v>
      </c>
      <c r="E62" s="16" t="n">
        <v>2</v>
      </c>
      <c r="F62" s="17" t="s">
        <v>824</v>
      </c>
      <c r="G62" s="7" t="s">
        <v>825</v>
      </c>
      <c r="H62" s="7" t="s">
        <v>826</v>
      </c>
      <c r="I62" s="7" t="s">
        <v>99</v>
      </c>
    </row>
    <row r="63" customFormat="false" ht="61.5" hidden="false" customHeight="true" outlineLevel="0" collapsed="false">
      <c r="A63" s="16" t="n">
        <v>64</v>
      </c>
      <c r="B63" s="17" t="s">
        <v>827</v>
      </c>
      <c r="C63" s="63" t="s">
        <v>533</v>
      </c>
      <c r="D63" s="57" t="s">
        <v>589</v>
      </c>
      <c r="E63" s="16" t="n">
        <v>1</v>
      </c>
      <c r="F63" s="17" t="s">
        <v>828</v>
      </c>
      <c r="G63" s="7" t="s">
        <v>829</v>
      </c>
      <c r="H63" s="7" t="s">
        <v>830</v>
      </c>
      <c r="I63" s="7" t="s">
        <v>99</v>
      </c>
    </row>
    <row r="64" customFormat="false" ht="61.5" hidden="false" customHeight="true" outlineLevel="0" collapsed="false">
      <c r="A64" s="16" t="n">
        <v>66</v>
      </c>
      <c r="B64" s="17" t="s">
        <v>831</v>
      </c>
      <c r="C64" s="63" t="s">
        <v>533</v>
      </c>
      <c r="D64" s="57" t="s">
        <v>589</v>
      </c>
      <c r="E64" s="16" t="n">
        <v>1</v>
      </c>
      <c r="F64" s="17" t="s">
        <v>832</v>
      </c>
      <c r="G64" s="7" t="s">
        <v>833</v>
      </c>
      <c r="H64" s="7" t="s">
        <v>834</v>
      </c>
      <c r="I64" s="7" t="s">
        <v>99</v>
      </c>
    </row>
    <row r="65" customFormat="false" ht="61.5" hidden="false" customHeight="true" outlineLevel="0" collapsed="false">
      <c r="A65" s="16" t="n">
        <v>67</v>
      </c>
      <c r="B65" s="17" t="s">
        <v>835</v>
      </c>
      <c r="C65" s="63" t="s">
        <v>533</v>
      </c>
      <c r="D65" s="12" t="s">
        <v>579</v>
      </c>
      <c r="E65" s="16" t="n">
        <v>2</v>
      </c>
      <c r="F65" s="17" t="s">
        <v>836</v>
      </c>
      <c r="G65" s="7" t="s">
        <v>837</v>
      </c>
      <c r="H65" s="7" t="s">
        <v>838</v>
      </c>
      <c r="I65" s="7" t="s">
        <v>99</v>
      </c>
    </row>
    <row r="66" customFormat="false" ht="61.5" hidden="false" customHeight="true" outlineLevel="0" collapsed="false">
      <c r="A66" s="16" t="n">
        <v>68</v>
      </c>
      <c r="B66" s="17" t="s">
        <v>839</v>
      </c>
      <c r="C66" s="63" t="s">
        <v>533</v>
      </c>
      <c r="D66" s="12" t="s">
        <v>579</v>
      </c>
      <c r="E66" s="16" t="n">
        <v>2</v>
      </c>
      <c r="F66" s="17" t="s">
        <v>840</v>
      </c>
      <c r="G66" s="7" t="s">
        <v>841</v>
      </c>
      <c r="H66" s="7" t="s">
        <v>842</v>
      </c>
      <c r="I66" s="7" t="s">
        <v>99</v>
      </c>
    </row>
    <row r="67" customFormat="false" ht="61.5" hidden="false" customHeight="true" outlineLevel="0" collapsed="false">
      <c r="A67" s="16" t="n">
        <v>69</v>
      </c>
      <c r="B67" s="17" t="s">
        <v>843</v>
      </c>
      <c r="C67" s="63" t="s">
        <v>533</v>
      </c>
      <c r="D67" s="57" t="s">
        <v>589</v>
      </c>
      <c r="E67" s="16" t="n">
        <v>1</v>
      </c>
      <c r="F67" s="17" t="s">
        <v>844</v>
      </c>
      <c r="G67" s="7" t="s">
        <v>845</v>
      </c>
      <c r="H67" s="7" t="s">
        <v>846</v>
      </c>
      <c r="I67" s="39" t="s">
        <v>847</v>
      </c>
    </row>
    <row r="68" customFormat="false" ht="61.5" hidden="false" customHeight="true" outlineLevel="0" collapsed="false">
      <c r="A68" s="16" t="n">
        <v>70</v>
      </c>
      <c r="B68" s="17" t="s">
        <v>848</v>
      </c>
      <c r="C68" s="56" t="s">
        <v>519</v>
      </c>
      <c r="D68" s="19" t="s">
        <v>573</v>
      </c>
      <c r="E68" s="16" t="n">
        <v>3</v>
      </c>
      <c r="F68" s="17" t="s">
        <v>849</v>
      </c>
      <c r="G68" s="7" t="s">
        <v>850</v>
      </c>
      <c r="H68" s="7" t="s">
        <v>851</v>
      </c>
      <c r="I68" s="39" t="s">
        <v>725</v>
      </c>
    </row>
    <row r="69" customFormat="false" ht="61.5" hidden="false" customHeight="true" outlineLevel="0" collapsed="false">
      <c r="A69" s="16" t="n">
        <v>71</v>
      </c>
      <c r="B69" s="17" t="s">
        <v>852</v>
      </c>
      <c r="C69" s="56" t="s">
        <v>519</v>
      </c>
      <c r="D69" s="19" t="s">
        <v>573</v>
      </c>
      <c r="E69" s="16" t="n">
        <v>3</v>
      </c>
      <c r="F69" s="17" t="s">
        <v>853</v>
      </c>
      <c r="G69" s="7" t="s">
        <v>854</v>
      </c>
      <c r="H69" s="7" t="s">
        <v>855</v>
      </c>
      <c r="I69" s="39" t="s">
        <v>822</v>
      </c>
    </row>
    <row r="70" customFormat="false" ht="61.5" hidden="false" customHeight="true" outlineLevel="0" collapsed="false">
      <c r="A70" s="16" t="n">
        <v>72</v>
      </c>
      <c r="B70" s="17" t="s">
        <v>856</v>
      </c>
      <c r="C70" s="56" t="s">
        <v>519</v>
      </c>
      <c r="D70" s="12" t="s">
        <v>579</v>
      </c>
      <c r="E70" s="16" t="n">
        <v>2</v>
      </c>
      <c r="F70" s="17" t="s">
        <v>857</v>
      </c>
      <c r="G70" s="7" t="s">
        <v>858</v>
      </c>
      <c r="H70" s="7" t="s">
        <v>859</v>
      </c>
      <c r="I70" s="7" t="s">
        <v>99</v>
      </c>
    </row>
    <row r="71" customFormat="false" ht="61.5" hidden="false" customHeight="true" outlineLevel="0" collapsed="false">
      <c r="A71" s="16" t="n">
        <v>73</v>
      </c>
      <c r="B71" s="17" t="s">
        <v>860</v>
      </c>
      <c r="C71" s="56" t="s">
        <v>519</v>
      </c>
      <c r="D71" s="12" t="s">
        <v>579</v>
      </c>
      <c r="E71" s="16" t="n">
        <v>2</v>
      </c>
      <c r="F71" s="17" t="s">
        <v>861</v>
      </c>
      <c r="G71" s="7" t="s">
        <v>862</v>
      </c>
      <c r="H71" s="7" t="s">
        <v>863</v>
      </c>
      <c r="I71" s="7" t="s">
        <v>99</v>
      </c>
    </row>
    <row r="72" customFormat="false" ht="61.5" hidden="false" customHeight="true" outlineLevel="0" collapsed="false">
      <c r="A72" s="16" t="n">
        <v>74</v>
      </c>
      <c r="B72" s="17" t="s">
        <v>864</v>
      </c>
      <c r="C72" s="56" t="s">
        <v>519</v>
      </c>
      <c r="D72" s="12" t="s">
        <v>579</v>
      </c>
      <c r="E72" s="16" t="n">
        <v>2</v>
      </c>
      <c r="F72" s="17" t="s">
        <v>865</v>
      </c>
      <c r="G72" s="7" t="s">
        <v>866</v>
      </c>
      <c r="H72" s="7" t="s">
        <v>867</v>
      </c>
      <c r="I72" s="7" t="s">
        <v>99</v>
      </c>
    </row>
    <row r="73" customFormat="false" ht="61.5" hidden="false" customHeight="true" outlineLevel="0" collapsed="false">
      <c r="A73" s="16" t="n">
        <v>75</v>
      </c>
      <c r="B73" s="17" t="s">
        <v>868</v>
      </c>
      <c r="C73" s="56" t="s">
        <v>519</v>
      </c>
      <c r="D73" s="57" t="s">
        <v>589</v>
      </c>
      <c r="E73" s="16" t="n">
        <v>1</v>
      </c>
      <c r="F73" s="17" t="s">
        <v>869</v>
      </c>
      <c r="G73" s="7" t="s">
        <v>870</v>
      </c>
      <c r="H73" s="7" t="s">
        <v>871</v>
      </c>
      <c r="I73" s="7" t="s">
        <v>99</v>
      </c>
    </row>
    <row r="74" customFormat="false" ht="61.5" hidden="false" customHeight="true" outlineLevel="0" collapsed="false">
      <c r="A74" s="16" t="n">
        <v>76</v>
      </c>
      <c r="B74" s="17" t="s">
        <v>872</v>
      </c>
      <c r="C74" s="56" t="s">
        <v>519</v>
      </c>
      <c r="D74" s="12" t="s">
        <v>579</v>
      </c>
      <c r="E74" s="16" t="n">
        <v>2</v>
      </c>
      <c r="F74" s="17" t="s">
        <v>873</v>
      </c>
      <c r="G74" s="7" t="s">
        <v>874</v>
      </c>
      <c r="H74" s="7" t="s">
        <v>875</v>
      </c>
      <c r="I74" s="39" t="s">
        <v>876</v>
      </c>
    </row>
    <row r="75" customFormat="false" ht="61.5" hidden="false" customHeight="true" outlineLevel="0" collapsed="false">
      <c r="A75" s="16" t="n">
        <v>78</v>
      </c>
      <c r="B75" s="17" t="s">
        <v>877</v>
      </c>
      <c r="C75" s="32" t="s">
        <v>523</v>
      </c>
      <c r="D75" s="57" t="s">
        <v>589</v>
      </c>
      <c r="E75" s="16" t="n">
        <v>1</v>
      </c>
      <c r="F75" s="17" t="s">
        <v>878</v>
      </c>
      <c r="G75" s="7" t="s">
        <v>879</v>
      </c>
      <c r="H75" s="7" t="s">
        <v>880</v>
      </c>
      <c r="I75" s="7" t="s">
        <v>99</v>
      </c>
    </row>
    <row r="76" customFormat="false" ht="61.5" hidden="false" customHeight="true" outlineLevel="0" collapsed="false">
      <c r="A76" s="16" t="n">
        <v>79</v>
      </c>
      <c r="B76" s="17" t="s">
        <v>881</v>
      </c>
      <c r="C76" s="32" t="s">
        <v>523</v>
      </c>
      <c r="D76" s="57" t="s">
        <v>589</v>
      </c>
      <c r="E76" s="16" t="n">
        <v>1</v>
      </c>
      <c r="F76" s="17" t="s">
        <v>882</v>
      </c>
      <c r="G76" s="7" t="s">
        <v>883</v>
      </c>
      <c r="H76" s="7" t="s">
        <v>884</v>
      </c>
      <c r="I76" s="7" t="s">
        <v>99</v>
      </c>
    </row>
    <row r="77" customFormat="false" ht="61.5" hidden="false" customHeight="true" outlineLevel="0" collapsed="false">
      <c r="A77" s="16" t="n">
        <v>80</v>
      </c>
      <c r="B77" s="17" t="s">
        <v>885</v>
      </c>
      <c r="C77" s="32" t="s">
        <v>523</v>
      </c>
      <c r="D77" s="12" t="s">
        <v>579</v>
      </c>
      <c r="E77" s="16" t="n">
        <v>2</v>
      </c>
      <c r="F77" s="17" t="s">
        <v>886</v>
      </c>
      <c r="G77" s="7" t="s">
        <v>887</v>
      </c>
      <c r="H77" s="7" t="s">
        <v>888</v>
      </c>
      <c r="I77" s="7" t="s">
        <v>99</v>
      </c>
    </row>
    <row r="78" customFormat="false" ht="61.5" hidden="false" customHeight="true" outlineLevel="0" collapsed="false">
      <c r="A78" s="16" t="n">
        <v>81</v>
      </c>
      <c r="B78" s="17" t="s">
        <v>889</v>
      </c>
      <c r="C78" s="32" t="s">
        <v>523</v>
      </c>
      <c r="D78" s="12" t="s">
        <v>579</v>
      </c>
      <c r="E78" s="16" t="n">
        <v>2</v>
      </c>
      <c r="F78" s="17" t="s">
        <v>890</v>
      </c>
      <c r="G78" s="7" t="s">
        <v>891</v>
      </c>
      <c r="H78" s="7" t="s">
        <v>892</v>
      </c>
      <c r="I78" s="7" t="s">
        <v>99</v>
      </c>
    </row>
    <row r="79" customFormat="false" ht="61.5" hidden="false" customHeight="true" outlineLevel="0" collapsed="false">
      <c r="A79" s="16" t="n">
        <v>83</v>
      </c>
      <c r="B79" s="17" t="s">
        <v>893</v>
      </c>
      <c r="C79" s="32" t="s">
        <v>523</v>
      </c>
      <c r="D79" s="57" t="s">
        <v>589</v>
      </c>
      <c r="E79" s="16" t="n">
        <v>1</v>
      </c>
      <c r="F79" s="17" t="s">
        <v>894</v>
      </c>
      <c r="G79" s="7" t="s">
        <v>895</v>
      </c>
      <c r="H79" s="7" t="s">
        <v>896</v>
      </c>
      <c r="I79" s="7" t="s">
        <v>99</v>
      </c>
    </row>
    <row r="80" customFormat="false" ht="61.5" hidden="false" customHeight="true" outlineLevel="0" collapsed="false">
      <c r="A80" s="16" t="n">
        <v>84</v>
      </c>
      <c r="B80" s="17" t="s">
        <v>897</v>
      </c>
      <c r="C80" s="32" t="s">
        <v>523</v>
      </c>
      <c r="D80" s="12" t="s">
        <v>579</v>
      </c>
      <c r="E80" s="16" t="n">
        <v>2</v>
      </c>
      <c r="F80" s="17" t="s">
        <v>898</v>
      </c>
      <c r="G80" s="7" t="s">
        <v>899</v>
      </c>
      <c r="H80" s="7" t="s">
        <v>900</v>
      </c>
      <c r="I80" s="7" t="s">
        <v>99</v>
      </c>
    </row>
    <row r="81" customFormat="false" ht="61.5" hidden="false" customHeight="true" outlineLevel="0" collapsed="false">
      <c r="A81" s="16" t="n">
        <v>85</v>
      </c>
      <c r="B81" s="17" t="s">
        <v>901</v>
      </c>
      <c r="C81" s="32" t="s">
        <v>523</v>
      </c>
      <c r="D81" s="57" t="s">
        <v>589</v>
      </c>
      <c r="E81" s="16" t="n">
        <v>1</v>
      </c>
      <c r="F81" s="17" t="s">
        <v>902</v>
      </c>
      <c r="G81" s="7" t="s">
        <v>903</v>
      </c>
      <c r="H81" s="7" t="s">
        <v>904</v>
      </c>
      <c r="I81" s="7" t="s">
        <v>99</v>
      </c>
    </row>
    <row r="82" customFormat="false" ht="61.5" hidden="false" customHeight="true" outlineLevel="0" collapsed="false">
      <c r="A82" s="16" t="n">
        <v>86</v>
      </c>
      <c r="B82" s="17" t="s">
        <v>905</v>
      </c>
      <c r="C82" s="47" t="s">
        <v>500</v>
      </c>
      <c r="D82" s="19" t="s">
        <v>573</v>
      </c>
      <c r="E82" s="16" t="n">
        <v>3</v>
      </c>
      <c r="F82" s="17" t="s">
        <v>906</v>
      </c>
      <c r="G82" s="7" t="s">
        <v>907</v>
      </c>
      <c r="H82" s="7" t="s">
        <v>908</v>
      </c>
      <c r="I82" s="39" t="s">
        <v>711</v>
      </c>
    </row>
    <row r="83" customFormat="false" ht="61.5" hidden="false" customHeight="true" outlineLevel="0" collapsed="false">
      <c r="A83" s="16" t="n">
        <v>87</v>
      </c>
      <c r="B83" s="17" t="s">
        <v>909</v>
      </c>
      <c r="C83" s="47" t="s">
        <v>500</v>
      </c>
      <c r="D83" s="19" t="s">
        <v>573</v>
      </c>
      <c r="E83" s="16" t="n">
        <v>3</v>
      </c>
      <c r="F83" s="17" t="s">
        <v>910</v>
      </c>
      <c r="G83" s="7" t="s">
        <v>911</v>
      </c>
      <c r="H83" s="7" t="s">
        <v>912</v>
      </c>
      <c r="I83" s="39" t="s">
        <v>711</v>
      </c>
    </row>
    <row r="84" customFormat="false" ht="61.5" hidden="false" customHeight="true" outlineLevel="0" collapsed="false">
      <c r="A84" s="16" t="n">
        <v>88</v>
      </c>
      <c r="B84" s="17" t="s">
        <v>913</v>
      </c>
      <c r="C84" s="47" t="s">
        <v>500</v>
      </c>
      <c r="D84" s="12" t="s">
        <v>579</v>
      </c>
      <c r="E84" s="16" t="n">
        <v>2</v>
      </c>
      <c r="F84" s="17" t="s">
        <v>914</v>
      </c>
      <c r="G84" s="7" t="s">
        <v>915</v>
      </c>
      <c r="H84" s="7" t="s">
        <v>916</v>
      </c>
      <c r="I84" s="7" t="s">
        <v>99</v>
      </c>
    </row>
    <row r="85" customFormat="false" ht="61.5" hidden="false" customHeight="true" outlineLevel="0" collapsed="false">
      <c r="A85" s="16" t="n">
        <v>90</v>
      </c>
      <c r="B85" s="17" t="s">
        <v>917</v>
      </c>
      <c r="C85" s="47" t="s">
        <v>500</v>
      </c>
      <c r="D85" s="57" t="s">
        <v>589</v>
      </c>
      <c r="E85" s="16" t="n">
        <v>1</v>
      </c>
      <c r="F85" s="17" t="s">
        <v>918</v>
      </c>
      <c r="G85" s="7" t="s">
        <v>919</v>
      </c>
      <c r="H85" s="7" t="s">
        <v>920</v>
      </c>
      <c r="I85" s="7" t="s">
        <v>99</v>
      </c>
    </row>
    <row r="86" customFormat="false" ht="61.5" hidden="false" customHeight="true" outlineLevel="0" collapsed="false">
      <c r="A86" s="16" t="n">
        <v>91</v>
      </c>
      <c r="B86" s="17" t="s">
        <v>921</v>
      </c>
      <c r="C86" s="47" t="s">
        <v>500</v>
      </c>
      <c r="D86" s="57" t="s">
        <v>589</v>
      </c>
      <c r="E86" s="16" t="n">
        <v>1</v>
      </c>
      <c r="F86" s="17" t="s">
        <v>922</v>
      </c>
      <c r="G86" s="7" t="s">
        <v>923</v>
      </c>
      <c r="H86" s="7" t="s">
        <v>924</v>
      </c>
      <c r="I86" s="7" t="s">
        <v>99</v>
      </c>
    </row>
    <row r="87" customFormat="false" ht="61.5" hidden="false" customHeight="true" outlineLevel="0" collapsed="false">
      <c r="A87" s="16" t="n">
        <v>92</v>
      </c>
      <c r="B87" s="17" t="s">
        <v>925</v>
      </c>
      <c r="C87" s="53" t="s">
        <v>514</v>
      </c>
      <c r="D87" s="12" t="s">
        <v>579</v>
      </c>
      <c r="E87" s="16" t="n">
        <v>2</v>
      </c>
      <c r="F87" s="17" t="s">
        <v>926</v>
      </c>
      <c r="G87" s="7" t="s">
        <v>927</v>
      </c>
      <c r="H87" s="7" t="s">
        <v>928</v>
      </c>
      <c r="I87" s="39" t="s">
        <v>929</v>
      </c>
    </row>
    <row r="88" customFormat="false" ht="61.5" hidden="false" customHeight="true" outlineLevel="0" collapsed="false">
      <c r="A88" s="16" t="n">
        <v>93</v>
      </c>
      <c r="B88" s="17" t="s">
        <v>930</v>
      </c>
      <c r="C88" s="53" t="s">
        <v>514</v>
      </c>
      <c r="D88" s="12" t="s">
        <v>579</v>
      </c>
      <c r="E88" s="16" t="n">
        <v>2</v>
      </c>
      <c r="F88" s="17" t="s">
        <v>931</v>
      </c>
      <c r="G88" s="7" t="s">
        <v>932</v>
      </c>
      <c r="H88" s="7" t="s">
        <v>933</v>
      </c>
      <c r="I88" s="7" t="s">
        <v>99</v>
      </c>
    </row>
    <row r="89" customFormat="false" ht="61.5" hidden="false" customHeight="true" outlineLevel="0" collapsed="false">
      <c r="A89" s="16" t="n">
        <v>94</v>
      </c>
      <c r="B89" s="17" t="s">
        <v>934</v>
      </c>
      <c r="C89" s="53" t="s">
        <v>514</v>
      </c>
      <c r="D89" s="12" t="s">
        <v>579</v>
      </c>
      <c r="E89" s="16" t="n">
        <v>2</v>
      </c>
      <c r="F89" s="17" t="s">
        <v>935</v>
      </c>
      <c r="G89" s="7" t="s">
        <v>936</v>
      </c>
      <c r="H89" s="7" t="s">
        <v>937</v>
      </c>
      <c r="I89" s="7" t="s">
        <v>99</v>
      </c>
    </row>
    <row r="90" customFormat="false" ht="61.5" hidden="false" customHeight="true" outlineLevel="0" collapsed="false">
      <c r="A90" s="16" t="n">
        <v>96</v>
      </c>
      <c r="B90" s="17" t="s">
        <v>938</v>
      </c>
      <c r="C90" s="53" t="s">
        <v>514</v>
      </c>
      <c r="D90" s="57" t="s">
        <v>589</v>
      </c>
      <c r="E90" s="16" t="n">
        <v>1</v>
      </c>
      <c r="F90" s="17" t="s">
        <v>939</v>
      </c>
      <c r="G90" s="7" t="s">
        <v>940</v>
      </c>
      <c r="H90" s="7" t="s">
        <v>941</v>
      </c>
      <c r="I90" s="7" t="s">
        <v>99</v>
      </c>
    </row>
    <row r="91" customFormat="false" ht="61.5" hidden="false" customHeight="true" outlineLevel="0" collapsed="false">
      <c r="A91" s="16" t="n">
        <v>97</v>
      </c>
      <c r="B91" s="17" t="s">
        <v>942</v>
      </c>
      <c r="C91" s="65" t="s">
        <v>943</v>
      </c>
      <c r="D91" s="12" t="s">
        <v>579</v>
      </c>
      <c r="E91" s="16" t="n">
        <v>2</v>
      </c>
      <c r="F91" s="17" t="s">
        <v>944</v>
      </c>
      <c r="G91" s="7" t="s">
        <v>945</v>
      </c>
      <c r="H91" s="7" t="s">
        <v>946</v>
      </c>
      <c r="I91" s="39" t="s">
        <v>577</v>
      </c>
    </row>
    <row r="92" customFormat="false" ht="61.5" hidden="false" customHeight="true" outlineLevel="0" collapsed="false">
      <c r="A92" s="16" t="n">
        <v>98</v>
      </c>
      <c r="B92" s="17" t="s">
        <v>947</v>
      </c>
      <c r="C92" s="65" t="s">
        <v>943</v>
      </c>
      <c r="D92" s="19" t="s">
        <v>573</v>
      </c>
      <c r="E92" s="16" t="n">
        <v>3</v>
      </c>
      <c r="F92" s="17" t="s">
        <v>948</v>
      </c>
      <c r="G92" s="7" t="s">
        <v>949</v>
      </c>
      <c r="H92" s="7" t="s">
        <v>950</v>
      </c>
      <c r="I92" s="39" t="s">
        <v>577</v>
      </c>
    </row>
    <row r="93" customFormat="false" ht="61.5" hidden="false" customHeight="true" outlineLevel="0" collapsed="false">
      <c r="A93" s="16" t="n">
        <v>99</v>
      </c>
      <c r="B93" s="17" t="s">
        <v>951</v>
      </c>
      <c r="C93" s="65" t="s">
        <v>943</v>
      </c>
      <c r="D93" s="57" t="s">
        <v>589</v>
      </c>
      <c r="E93" s="16" t="n">
        <v>1</v>
      </c>
      <c r="F93" s="17" t="s">
        <v>952</v>
      </c>
      <c r="G93" s="7" t="s">
        <v>953</v>
      </c>
      <c r="H93" s="7" t="s">
        <v>954</v>
      </c>
      <c r="I93" s="7" t="s">
        <v>99</v>
      </c>
    </row>
    <row r="94" customFormat="false" ht="61.5" hidden="false" customHeight="true" outlineLevel="0" collapsed="false">
      <c r="A94" s="16" t="n">
        <v>100</v>
      </c>
      <c r="B94" s="17" t="s">
        <v>955</v>
      </c>
      <c r="C94" s="65" t="s">
        <v>943</v>
      </c>
      <c r="D94" s="12" t="s">
        <v>579</v>
      </c>
      <c r="E94" s="16" t="n">
        <v>2</v>
      </c>
      <c r="F94" s="17" t="s">
        <v>956</v>
      </c>
      <c r="G94" s="7" t="s">
        <v>957</v>
      </c>
      <c r="H94" s="7" t="s">
        <v>958</v>
      </c>
      <c r="I94" s="7" t="s">
        <v>99</v>
      </c>
    </row>
  </sheetData>
  <autoFilter ref="A3:I9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4" min="3" style="1" width="13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24" hidden="false" customHeight="true" outlineLevel="0" collapsed="false">
      <c r="A1" s="2" t="s">
        <v>959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66" t="s">
        <v>960</v>
      </c>
      <c r="B2" s="66"/>
      <c r="C2" s="66"/>
      <c r="D2" s="66"/>
      <c r="E2" s="66"/>
      <c r="F2" s="66"/>
      <c r="G2" s="66"/>
    </row>
    <row r="3" customFormat="false" ht="30" hidden="false" customHeight="true" outlineLevel="0" collapsed="false">
      <c r="A3" s="6" t="s">
        <v>73</v>
      </c>
      <c r="B3" s="6" t="s">
        <v>487</v>
      </c>
      <c r="C3" s="6" t="s">
        <v>488</v>
      </c>
      <c r="D3" s="6" t="s">
        <v>466</v>
      </c>
      <c r="E3" s="6" t="s">
        <v>489</v>
      </c>
      <c r="F3" s="6" t="s">
        <v>490</v>
      </c>
      <c r="G3" s="6" t="s">
        <v>961</v>
      </c>
    </row>
    <row r="4" customFormat="false" ht="15" hidden="false" customHeight="true" outlineLevel="0" collapsed="false">
      <c r="A4" s="42" t="n">
        <v>1</v>
      </c>
      <c r="B4" s="67" t="s">
        <v>493</v>
      </c>
      <c r="C4" s="68" t="s">
        <v>494</v>
      </c>
      <c r="D4" s="68" t="s">
        <v>469</v>
      </c>
      <c r="E4" s="42" t="s">
        <v>495</v>
      </c>
      <c r="F4" s="68" t="s">
        <v>496</v>
      </c>
      <c r="G4" s="68" t="s">
        <v>962</v>
      </c>
    </row>
    <row r="5" customFormat="false" ht="15" hidden="false" customHeight="true" outlineLevel="0" collapsed="false">
      <c r="A5" s="42" t="n">
        <v>2</v>
      </c>
      <c r="B5" s="67" t="s">
        <v>572</v>
      </c>
      <c r="C5" s="68" t="s">
        <v>494</v>
      </c>
      <c r="D5" s="68" t="s">
        <v>471</v>
      </c>
      <c r="E5" s="42" t="s">
        <v>495</v>
      </c>
      <c r="F5" s="68" t="s">
        <v>524</v>
      </c>
      <c r="G5" s="68" t="s">
        <v>963</v>
      </c>
    </row>
    <row r="6" customFormat="false" ht="15" hidden="false" customHeight="true" outlineLevel="0" collapsed="false">
      <c r="A6" s="42" t="n">
        <v>3</v>
      </c>
      <c r="B6" s="67" t="s">
        <v>578</v>
      </c>
      <c r="C6" s="68" t="s">
        <v>494</v>
      </c>
      <c r="D6" s="68" t="s">
        <v>473</v>
      </c>
      <c r="E6" s="42" t="s">
        <v>495</v>
      </c>
      <c r="F6" s="68" t="s">
        <v>496</v>
      </c>
      <c r="G6" s="68" t="s">
        <v>964</v>
      </c>
    </row>
    <row r="7" customFormat="false" ht="15" hidden="false" customHeight="true" outlineLevel="0" collapsed="false">
      <c r="A7" s="42" t="n">
        <v>4</v>
      </c>
      <c r="B7" s="67" t="s">
        <v>583</v>
      </c>
      <c r="C7" s="68" t="s">
        <v>494</v>
      </c>
      <c r="D7" s="68" t="s">
        <v>475</v>
      </c>
      <c r="E7" s="42" t="s">
        <v>495</v>
      </c>
      <c r="F7" s="68" t="s">
        <v>515</v>
      </c>
      <c r="G7" s="68" t="s">
        <v>965</v>
      </c>
    </row>
    <row r="8" customFormat="false" ht="15" hidden="false" customHeight="true" outlineLevel="0" collapsed="false">
      <c r="A8" s="42" t="n">
        <v>5</v>
      </c>
      <c r="B8" s="67" t="s">
        <v>588</v>
      </c>
      <c r="C8" s="68" t="s">
        <v>494</v>
      </c>
      <c r="D8" s="68" t="s">
        <v>477</v>
      </c>
      <c r="E8" s="42" t="s">
        <v>501</v>
      </c>
      <c r="F8" s="68" t="s">
        <v>496</v>
      </c>
      <c r="G8" s="68" t="s">
        <v>966</v>
      </c>
    </row>
    <row r="9" customFormat="false" ht="15" hidden="false" customHeight="true" outlineLevel="0" collapsed="false">
      <c r="A9" s="42" t="n">
        <v>6</v>
      </c>
      <c r="B9" s="67" t="s">
        <v>593</v>
      </c>
      <c r="C9" s="68" t="s">
        <v>494</v>
      </c>
      <c r="D9" s="68" t="s">
        <v>475</v>
      </c>
      <c r="E9" s="42" t="s">
        <v>495</v>
      </c>
      <c r="F9" s="68" t="s">
        <v>496</v>
      </c>
      <c r="G9" s="68" t="s">
        <v>967</v>
      </c>
    </row>
    <row r="10" customFormat="false" ht="15" hidden="false" customHeight="true" outlineLevel="0" collapsed="false">
      <c r="A10" s="42" t="n">
        <v>7</v>
      </c>
      <c r="B10" s="67" t="s">
        <v>597</v>
      </c>
      <c r="C10" s="68" t="s">
        <v>494</v>
      </c>
      <c r="D10" s="68" t="s">
        <v>475</v>
      </c>
      <c r="E10" s="42" t="s">
        <v>495</v>
      </c>
      <c r="F10" s="68" t="s">
        <v>524</v>
      </c>
      <c r="G10" s="68" t="s">
        <v>968</v>
      </c>
    </row>
    <row r="11" customFormat="false" ht="15" hidden="false" customHeight="true" outlineLevel="0" collapsed="false">
      <c r="A11" s="42" t="n">
        <v>8</v>
      </c>
      <c r="B11" s="67" t="s">
        <v>602</v>
      </c>
      <c r="C11" s="68" t="s">
        <v>494</v>
      </c>
      <c r="D11" s="68" t="s">
        <v>469</v>
      </c>
      <c r="E11" s="42" t="s">
        <v>495</v>
      </c>
      <c r="F11" s="68" t="s">
        <v>515</v>
      </c>
      <c r="G11" s="68" t="s">
        <v>969</v>
      </c>
    </row>
    <row r="12" customFormat="false" ht="15" hidden="false" customHeight="true" outlineLevel="0" collapsed="false">
      <c r="A12" s="42" t="n">
        <v>9</v>
      </c>
      <c r="B12" s="67" t="s">
        <v>606</v>
      </c>
      <c r="C12" s="68" t="s">
        <v>494</v>
      </c>
      <c r="D12" s="68" t="s">
        <v>479</v>
      </c>
      <c r="E12" s="42" t="s">
        <v>495</v>
      </c>
      <c r="F12" s="68" t="s">
        <v>515</v>
      </c>
      <c r="G12" s="68" t="s">
        <v>970</v>
      </c>
    </row>
    <row r="13" customFormat="false" ht="15" hidden="false" customHeight="true" outlineLevel="0" collapsed="false">
      <c r="A13" s="42" t="n">
        <v>10</v>
      </c>
      <c r="B13" s="67" t="s">
        <v>610</v>
      </c>
      <c r="C13" s="68" t="s">
        <v>494</v>
      </c>
      <c r="D13" s="68" t="s">
        <v>479</v>
      </c>
      <c r="E13" s="42" t="s">
        <v>495</v>
      </c>
      <c r="F13" s="68" t="s">
        <v>524</v>
      </c>
      <c r="G13" s="68" t="s">
        <v>971</v>
      </c>
    </row>
    <row r="14" customFormat="false" ht="15" hidden="false" customHeight="true" outlineLevel="0" collapsed="false">
      <c r="A14" s="42" t="n">
        <v>11</v>
      </c>
      <c r="B14" s="67" t="s">
        <v>614</v>
      </c>
      <c r="C14" s="68" t="s">
        <v>494</v>
      </c>
      <c r="D14" s="68" t="s">
        <v>469</v>
      </c>
      <c r="E14" s="42" t="s">
        <v>501</v>
      </c>
      <c r="F14" s="68" t="s">
        <v>529</v>
      </c>
      <c r="G14" s="68" t="s">
        <v>972</v>
      </c>
    </row>
    <row r="15" customFormat="false" ht="15" hidden="false" customHeight="true" outlineLevel="0" collapsed="false">
      <c r="A15" s="42" t="n">
        <v>12</v>
      </c>
      <c r="B15" s="67" t="s">
        <v>619</v>
      </c>
      <c r="C15" s="68" t="s">
        <v>494</v>
      </c>
      <c r="D15" s="68" t="s">
        <v>477</v>
      </c>
      <c r="E15" s="42" t="s">
        <v>501</v>
      </c>
      <c r="F15" s="68" t="s">
        <v>506</v>
      </c>
      <c r="G15" s="68" t="s">
        <v>973</v>
      </c>
    </row>
    <row r="16" customFormat="false" ht="15" hidden="false" customHeight="true" outlineLevel="0" collapsed="false">
      <c r="A16" s="42" t="n">
        <v>13</v>
      </c>
      <c r="B16" s="67" t="s">
        <v>623</v>
      </c>
      <c r="C16" s="68" t="s">
        <v>494</v>
      </c>
      <c r="D16" s="68" t="s">
        <v>477</v>
      </c>
      <c r="E16" s="42" t="s">
        <v>501</v>
      </c>
      <c r="F16" s="68" t="s">
        <v>496</v>
      </c>
      <c r="G16" s="68" t="s">
        <v>974</v>
      </c>
    </row>
    <row r="17" customFormat="false" ht="15" hidden="false" customHeight="true" outlineLevel="0" collapsed="false">
      <c r="A17" s="42" t="n">
        <v>14</v>
      </c>
      <c r="B17" s="67" t="s">
        <v>627</v>
      </c>
      <c r="C17" s="68" t="s">
        <v>494</v>
      </c>
      <c r="D17" s="68" t="s">
        <v>475</v>
      </c>
      <c r="E17" s="42" t="s">
        <v>501</v>
      </c>
      <c r="F17" s="68" t="s">
        <v>496</v>
      </c>
      <c r="G17" s="68" t="s">
        <v>975</v>
      </c>
    </row>
    <row r="18" customFormat="false" ht="15" hidden="false" customHeight="true" outlineLevel="0" collapsed="false">
      <c r="A18" s="42" t="n">
        <v>15</v>
      </c>
      <c r="B18" s="67" t="s">
        <v>631</v>
      </c>
      <c r="C18" s="68" t="s">
        <v>494</v>
      </c>
      <c r="D18" s="68" t="s">
        <v>471</v>
      </c>
      <c r="E18" s="42" t="s">
        <v>495</v>
      </c>
      <c r="F18" s="68" t="s">
        <v>515</v>
      </c>
      <c r="G18" s="68" t="s">
        <v>976</v>
      </c>
    </row>
    <row r="19" customFormat="false" ht="15" hidden="false" customHeight="true" outlineLevel="0" collapsed="false">
      <c r="A19" s="42" t="n">
        <v>16</v>
      </c>
      <c r="B19" s="67" t="s">
        <v>635</v>
      </c>
      <c r="C19" s="68" t="s">
        <v>494</v>
      </c>
      <c r="D19" s="68" t="s">
        <v>471</v>
      </c>
      <c r="E19" s="42" t="s">
        <v>495</v>
      </c>
      <c r="F19" s="68" t="s">
        <v>524</v>
      </c>
      <c r="G19" s="68" t="s">
        <v>977</v>
      </c>
    </row>
    <row r="20" customFormat="false" ht="15" hidden="false" customHeight="true" outlineLevel="0" collapsed="false">
      <c r="A20" s="42" t="n">
        <v>17</v>
      </c>
      <c r="B20" s="67" t="s">
        <v>640</v>
      </c>
      <c r="C20" s="68" t="s">
        <v>494</v>
      </c>
      <c r="D20" s="68" t="s">
        <v>471</v>
      </c>
      <c r="E20" s="42" t="s">
        <v>501</v>
      </c>
      <c r="F20" s="68" t="s">
        <v>506</v>
      </c>
      <c r="G20" s="68" t="s">
        <v>978</v>
      </c>
    </row>
    <row r="21" customFormat="false" ht="15" hidden="false" customHeight="true" outlineLevel="0" collapsed="false">
      <c r="A21" s="42" t="n">
        <v>18</v>
      </c>
      <c r="B21" s="67" t="s">
        <v>644</v>
      </c>
      <c r="C21" s="68" t="s">
        <v>494</v>
      </c>
      <c r="D21" s="68" t="s">
        <v>471</v>
      </c>
      <c r="E21" s="42" t="s">
        <v>495</v>
      </c>
      <c r="F21" s="68" t="s">
        <v>524</v>
      </c>
      <c r="G21" s="68" t="s">
        <v>979</v>
      </c>
    </row>
    <row r="22" customFormat="false" ht="15" hidden="false" customHeight="true" outlineLevel="0" collapsed="false">
      <c r="A22" s="42" t="n">
        <v>19</v>
      </c>
      <c r="B22" s="67" t="s">
        <v>648</v>
      </c>
      <c r="C22" s="68" t="s">
        <v>494</v>
      </c>
      <c r="D22" s="68" t="s">
        <v>473</v>
      </c>
      <c r="E22" s="42" t="s">
        <v>501</v>
      </c>
      <c r="F22" s="68" t="s">
        <v>506</v>
      </c>
      <c r="G22" s="68" t="s">
        <v>980</v>
      </c>
    </row>
    <row r="23" customFormat="false" ht="15" hidden="false" customHeight="true" outlineLevel="0" collapsed="false">
      <c r="A23" s="48" t="n">
        <v>20</v>
      </c>
      <c r="B23" s="69" t="s">
        <v>652</v>
      </c>
      <c r="C23" s="70" t="s">
        <v>505</v>
      </c>
      <c r="D23" s="70" t="s">
        <v>471</v>
      </c>
      <c r="E23" s="48" t="s">
        <v>534</v>
      </c>
      <c r="F23" s="70" t="s">
        <v>515</v>
      </c>
      <c r="G23" s="70" t="s">
        <v>981</v>
      </c>
    </row>
    <row r="24" customFormat="false" ht="15" hidden="false" customHeight="true" outlineLevel="0" collapsed="false">
      <c r="A24" s="48" t="n">
        <v>21</v>
      </c>
      <c r="B24" s="69" t="s">
        <v>657</v>
      </c>
      <c r="C24" s="70" t="s">
        <v>505</v>
      </c>
      <c r="D24" s="70" t="s">
        <v>469</v>
      </c>
      <c r="E24" s="48" t="s">
        <v>501</v>
      </c>
      <c r="F24" s="70" t="s">
        <v>506</v>
      </c>
      <c r="G24" s="70" t="s">
        <v>982</v>
      </c>
    </row>
    <row r="25" customFormat="false" ht="15" hidden="false" customHeight="true" outlineLevel="0" collapsed="false">
      <c r="A25" s="48" t="n">
        <v>22</v>
      </c>
      <c r="B25" s="69" t="s">
        <v>661</v>
      </c>
      <c r="C25" s="70" t="s">
        <v>505</v>
      </c>
      <c r="D25" s="70" t="s">
        <v>471</v>
      </c>
      <c r="E25" s="48" t="s">
        <v>495</v>
      </c>
      <c r="F25" s="70" t="s">
        <v>529</v>
      </c>
      <c r="G25" s="70" t="s">
        <v>983</v>
      </c>
    </row>
    <row r="26" customFormat="false" ht="15" hidden="false" customHeight="true" outlineLevel="0" collapsed="false">
      <c r="A26" s="48" t="n">
        <v>23</v>
      </c>
      <c r="B26" s="69" t="s">
        <v>666</v>
      </c>
      <c r="C26" s="70" t="s">
        <v>505</v>
      </c>
      <c r="D26" s="70" t="s">
        <v>471</v>
      </c>
      <c r="E26" s="48" t="s">
        <v>501</v>
      </c>
      <c r="F26" s="70" t="s">
        <v>496</v>
      </c>
      <c r="G26" s="70" t="s">
        <v>984</v>
      </c>
    </row>
    <row r="27" customFormat="false" ht="15" hidden="false" customHeight="true" outlineLevel="0" collapsed="false">
      <c r="A27" s="48" t="n">
        <v>24</v>
      </c>
      <c r="B27" s="69" t="s">
        <v>670</v>
      </c>
      <c r="C27" s="70" t="s">
        <v>505</v>
      </c>
      <c r="D27" s="70" t="s">
        <v>471</v>
      </c>
      <c r="E27" s="48" t="s">
        <v>495</v>
      </c>
      <c r="F27" s="70" t="s">
        <v>524</v>
      </c>
      <c r="G27" s="70" t="s">
        <v>985</v>
      </c>
    </row>
    <row r="28" customFormat="false" ht="15" hidden="false" customHeight="true" outlineLevel="0" collapsed="false">
      <c r="A28" s="48" t="n">
        <v>25</v>
      </c>
      <c r="B28" s="69" t="s">
        <v>674</v>
      </c>
      <c r="C28" s="70" t="s">
        <v>505</v>
      </c>
      <c r="D28" s="70" t="s">
        <v>475</v>
      </c>
      <c r="E28" s="48" t="s">
        <v>501</v>
      </c>
      <c r="F28" s="70" t="s">
        <v>506</v>
      </c>
      <c r="G28" s="70" t="s">
        <v>986</v>
      </c>
    </row>
    <row r="29" customFormat="false" ht="15" hidden="false" customHeight="true" outlineLevel="0" collapsed="false">
      <c r="A29" s="48" t="n">
        <v>26</v>
      </c>
      <c r="B29" s="69" t="s">
        <v>678</v>
      </c>
      <c r="C29" s="70" t="s">
        <v>505</v>
      </c>
      <c r="D29" s="70" t="s">
        <v>475</v>
      </c>
      <c r="E29" s="48" t="s">
        <v>534</v>
      </c>
      <c r="F29" s="70" t="s">
        <v>515</v>
      </c>
      <c r="G29" s="70" t="s">
        <v>987</v>
      </c>
    </row>
    <row r="30" customFormat="false" ht="15" hidden="false" customHeight="true" outlineLevel="0" collapsed="false">
      <c r="A30" s="48" t="n">
        <v>27</v>
      </c>
      <c r="B30" s="69" t="s">
        <v>504</v>
      </c>
      <c r="C30" s="70" t="s">
        <v>505</v>
      </c>
      <c r="D30" s="70" t="s">
        <v>475</v>
      </c>
      <c r="E30" s="48" t="s">
        <v>501</v>
      </c>
      <c r="F30" s="70" t="s">
        <v>506</v>
      </c>
      <c r="G30" s="70" t="s">
        <v>988</v>
      </c>
    </row>
    <row r="31" customFormat="false" ht="15" hidden="false" customHeight="true" outlineLevel="0" collapsed="false">
      <c r="A31" s="48" t="n">
        <v>28</v>
      </c>
      <c r="B31" s="69" t="s">
        <v>682</v>
      </c>
      <c r="C31" s="70" t="s">
        <v>505</v>
      </c>
      <c r="D31" s="70" t="s">
        <v>475</v>
      </c>
      <c r="E31" s="48" t="s">
        <v>495</v>
      </c>
      <c r="F31" s="70" t="s">
        <v>506</v>
      </c>
      <c r="G31" s="70" t="s">
        <v>989</v>
      </c>
    </row>
    <row r="32" customFormat="false" ht="15" hidden="false" customHeight="true" outlineLevel="0" collapsed="false">
      <c r="A32" s="48" t="n">
        <v>29</v>
      </c>
      <c r="B32" s="69" t="s">
        <v>686</v>
      </c>
      <c r="C32" s="70" t="s">
        <v>505</v>
      </c>
      <c r="D32" s="70" t="s">
        <v>475</v>
      </c>
      <c r="E32" s="48" t="s">
        <v>495</v>
      </c>
      <c r="F32" s="70" t="s">
        <v>515</v>
      </c>
      <c r="G32" s="70" t="s">
        <v>990</v>
      </c>
    </row>
    <row r="33" customFormat="false" ht="15" hidden="false" customHeight="true" outlineLevel="0" collapsed="false">
      <c r="A33" s="48" t="n">
        <v>30</v>
      </c>
      <c r="B33" s="69" t="s">
        <v>690</v>
      </c>
      <c r="C33" s="70" t="s">
        <v>505</v>
      </c>
      <c r="D33" s="70" t="s">
        <v>471</v>
      </c>
      <c r="E33" s="48" t="s">
        <v>495</v>
      </c>
      <c r="F33" s="70" t="s">
        <v>515</v>
      </c>
      <c r="G33" s="70" t="s">
        <v>991</v>
      </c>
    </row>
    <row r="34" customFormat="false" ht="15" hidden="false" customHeight="true" outlineLevel="0" collapsed="false">
      <c r="A34" s="48" t="n">
        <v>31</v>
      </c>
      <c r="B34" s="69" t="s">
        <v>695</v>
      </c>
      <c r="C34" s="70" t="s">
        <v>505</v>
      </c>
      <c r="D34" s="70" t="s">
        <v>473</v>
      </c>
      <c r="E34" s="48" t="s">
        <v>501</v>
      </c>
      <c r="F34" s="70" t="s">
        <v>506</v>
      </c>
      <c r="G34" s="70" t="s">
        <v>992</v>
      </c>
    </row>
    <row r="35" customFormat="false" ht="15" hidden="false" customHeight="true" outlineLevel="0" collapsed="false">
      <c r="A35" s="48" t="n">
        <v>32</v>
      </c>
      <c r="B35" s="69" t="s">
        <v>699</v>
      </c>
      <c r="C35" s="70" t="s">
        <v>505</v>
      </c>
      <c r="D35" s="70" t="s">
        <v>473</v>
      </c>
      <c r="E35" s="48" t="s">
        <v>495</v>
      </c>
      <c r="F35" s="70" t="s">
        <v>496</v>
      </c>
      <c r="G35" s="70" t="s">
        <v>993</v>
      </c>
    </row>
    <row r="36" customFormat="false" ht="15" hidden="false" customHeight="true" outlineLevel="0" collapsed="false">
      <c r="A36" s="12" t="n">
        <v>33</v>
      </c>
      <c r="B36" s="71" t="s">
        <v>703</v>
      </c>
      <c r="C36" s="72" t="s">
        <v>510</v>
      </c>
      <c r="D36" s="72" t="s">
        <v>475</v>
      </c>
      <c r="E36" s="12" t="s">
        <v>495</v>
      </c>
      <c r="F36" s="72" t="s">
        <v>496</v>
      </c>
      <c r="G36" s="72" t="s">
        <v>994</v>
      </c>
    </row>
    <row r="37" customFormat="false" ht="15" hidden="false" customHeight="true" outlineLevel="0" collapsed="false">
      <c r="A37" s="12" t="n">
        <v>34</v>
      </c>
      <c r="B37" s="71" t="s">
        <v>707</v>
      </c>
      <c r="C37" s="72" t="s">
        <v>510</v>
      </c>
      <c r="D37" s="72" t="s">
        <v>471</v>
      </c>
      <c r="E37" s="12" t="s">
        <v>495</v>
      </c>
      <c r="F37" s="72" t="s">
        <v>515</v>
      </c>
      <c r="G37" s="72" t="s">
        <v>995</v>
      </c>
    </row>
    <row r="38" customFormat="false" ht="15" hidden="false" customHeight="true" outlineLevel="0" collapsed="false">
      <c r="A38" s="12" t="n">
        <v>35</v>
      </c>
      <c r="B38" s="71" t="s">
        <v>712</v>
      </c>
      <c r="C38" s="72" t="s">
        <v>510</v>
      </c>
      <c r="D38" s="72" t="s">
        <v>475</v>
      </c>
      <c r="E38" s="12" t="s">
        <v>495</v>
      </c>
      <c r="F38" s="72" t="s">
        <v>515</v>
      </c>
      <c r="G38" s="72" t="s">
        <v>996</v>
      </c>
    </row>
    <row r="39" customFormat="false" ht="15" hidden="false" customHeight="true" outlineLevel="0" collapsed="false">
      <c r="A39" s="12" t="n">
        <v>36</v>
      </c>
      <c r="B39" s="71" t="s">
        <v>717</v>
      </c>
      <c r="C39" s="72" t="s">
        <v>510</v>
      </c>
      <c r="D39" s="72" t="s">
        <v>469</v>
      </c>
      <c r="E39" s="12" t="s">
        <v>501</v>
      </c>
      <c r="F39" s="72" t="s">
        <v>496</v>
      </c>
      <c r="G39" s="72" t="s">
        <v>997</v>
      </c>
    </row>
    <row r="40" customFormat="false" ht="15" hidden="false" customHeight="true" outlineLevel="0" collapsed="false">
      <c r="A40" s="12" t="n">
        <v>37</v>
      </c>
      <c r="B40" s="71" t="s">
        <v>721</v>
      </c>
      <c r="C40" s="72" t="s">
        <v>510</v>
      </c>
      <c r="D40" s="72" t="s">
        <v>471</v>
      </c>
      <c r="E40" s="12" t="s">
        <v>495</v>
      </c>
      <c r="F40" s="72" t="s">
        <v>524</v>
      </c>
      <c r="G40" s="72" t="s">
        <v>998</v>
      </c>
    </row>
    <row r="41" customFormat="false" ht="15" hidden="false" customHeight="true" outlineLevel="0" collapsed="false">
      <c r="A41" s="12" t="n">
        <v>38</v>
      </c>
      <c r="B41" s="71" t="s">
        <v>726</v>
      </c>
      <c r="C41" s="72" t="s">
        <v>510</v>
      </c>
      <c r="D41" s="72" t="s">
        <v>475</v>
      </c>
      <c r="E41" s="12" t="s">
        <v>501</v>
      </c>
      <c r="F41" s="72" t="s">
        <v>506</v>
      </c>
      <c r="G41" s="72" t="s">
        <v>999</v>
      </c>
    </row>
    <row r="42" customFormat="false" ht="15" hidden="false" customHeight="true" outlineLevel="0" collapsed="false">
      <c r="A42" s="12" t="n">
        <v>39</v>
      </c>
      <c r="B42" s="71" t="s">
        <v>509</v>
      </c>
      <c r="C42" s="72" t="s">
        <v>510</v>
      </c>
      <c r="D42" s="72" t="s">
        <v>473</v>
      </c>
      <c r="E42" s="12" t="s">
        <v>501</v>
      </c>
      <c r="F42" s="72" t="s">
        <v>506</v>
      </c>
      <c r="G42" s="72" t="s">
        <v>1000</v>
      </c>
    </row>
    <row r="43" customFormat="false" ht="15" hidden="false" customHeight="true" outlineLevel="0" collapsed="false">
      <c r="A43" s="12" t="n">
        <v>40</v>
      </c>
      <c r="B43" s="71" t="s">
        <v>730</v>
      </c>
      <c r="C43" s="72" t="s">
        <v>510</v>
      </c>
      <c r="D43" s="72" t="s">
        <v>471</v>
      </c>
      <c r="E43" s="12" t="s">
        <v>501</v>
      </c>
      <c r="F43" s="72" t="s">
        <v>496</v>
      </c>
      <c r="G43" s="72" t="s">
        <v>1001</v>
      </c>
    </row>
    <row r="44" customFormat="false" ht="15" hidden="false" customHeight="true" outlineLevel="0" collapsed="false">
      <c r="A44" s="12" t="n">
        <v>41</v>
      </c>
      <c r="B44" s="71" t="s">
        <v>734</v>
      </c>
      <c r="C44" s="72" t="s">
        <v>510</v>
      </c>
      <c r="D44" s="72" t="s">
        <v>477</v>
      </c>
      <c r="E44" s="12" t="s">
        <v>495</v>
      </c>
      <c r="F44" s="72" t="s">
        <v>515</v>
      </c>
      <c r="G44" s="72" t="s">
        <v>1002</v>
      </c>
    </row>
    <row r="45" customFormat="false" ht="15" hidden="false" customHeight="true" outlineLevel="0" collapsed="false">
      <c r="A45" s="12" t="n">
        <v>42</v>
      </c>
      <c r="B45" s="71" t="s">
        <v>738</v>
      </c>
      <c r="C45" s="72" t="s">
        <v>510</v>
      </c>
      <c r="D45" s="72" t="s">
        <v>479</v>
      </c>
      <c r="E45" s="12" t="s">
        <v>495</v>
      </c>
      <c r="F45" s="72" t="s">
        <v>529</v>
      </c>
      <c r="G45" s="72" t="s">
        <v>1003</v>
      </c>
    </row>
    <row r="46" customFormat="false" ht="15" hidden="false" customHeight="true" outlineLevel="0" collapsed="false">
      <c r="A46" s="12" t="n">
        <v>43</v>
      </c>
      <c r="B46" s="71" t="s">
        <v>742</v>
      </c>
      <c r="C46" s="72" t="s">
        <v>510</v>
      </c>
      <c r="D46" s="72" t="s">
        <v>471</v>
      </c>
      <c r="E46" s="12" t="s">
        <v>495</v>
      </c>
      <c r="F46" s="72" t="s">
        <v>529</v>
      </c>
      <c r="G46" s="72" t="s">
        <v>1004</v>
      </c>
    </row>
    <row r="47" customFormat="false" ht="15" hidden="false" customHeight="true" outlineLevel="0" collapsed="false">
      <c r="A47" s="12" t="n">
        <v>44</v>
      </c>
      <c r="B47" s="71" t="s">
        <v>746</v>
      </c>
      <c r="C47" s="72" t="s">
        <v>510</v>
      </c>
      <c r="D47" s="72" t="s">
        <v>471</v>
      </c>
      <c r="E47" s="12" t="s">
        <v>501</v>
      </c>
      <c r="F47" s="72" t="s">
        <v>496</v>
      </c>
      <c r="G47" s="72" t="s">
        <v>1005</v>
      </c>
    </row>
    <row r="48" customFormat="false" ht="15" hidden="false" customHeight="true" outlineLevel="0" collapsed="false">
      <c r="A48" s="12" t="n">
        <v>45</v>
      </c>
      <c r="B48" s="71" t="s">
        <v>750</v>
      </c>
      <c r="C48" s="72" t="s">
        <v>510</v>
      </c>
      <c r="D48" s="72" t="s">
        <v>479</v>
      </c>
      <c r="E48" s="12" t="s">
        <v>495</v>
      </c>
      <c r="F48" s="72" t="s">
        <v>515</v>
      </c>
      <c r="G48" s="72" t="s">
        <v>1006</v>
      </c>
    </row>
    <row r="49" customFormat="false" ht="15" hidden="false" customHeight="true" outlineLevel="0" collapsed="false">
      <c r="A49" s="12" t="n">
        <v>46</v>
      </c>
      <c r="B49" s="71" t="s">
        <v>754</v>
      </c>
      <c r="C49" s="72" t="s">
        <v>510</v>
      </c>
      <c r="D49" s="72" t="s">
        <v>475</v>
      </c>
      <c r="E49" s="12" t="s">
        <v>501</v>
      </c>
      <c r="F49" s="72" t="s">
        <v>506</v>
      </c>
      <c r="G49" s="72" t="s">
        <v>1007</v>
      </c>
    </row>
    <row r="50" customFormat="false" ht="15" hidden="false" customHeight="true" outlineLevel="0" collapsed="false">
      <c r="A50" s="58" t="n">
        <v>47</v>
      </c>
      <c r="B50" s="73" t="s">
        <v>759</v>
      </c>
      <c r="C50" s="74" t="s">
        <v>528</v>
      </c>
      <c r="D50" s="74" t="s">
        <v>475</v>
      </c>
      <c r="E50" s="58" t="s">
        <v>495</v>
      </c>
      <c r="F50" s="74" t="s">
        <v>515</v>
      </c>
      <c r="G50" s="74" t="s">
        <v>1008</v>
      </c>
    </row>
    <row r="51" customFormat="false" ht="15" hidden="false" customHeight="true" outlineLevel="0" collapsed="false">
      <c r="A51" s="58" t="n">
        <v>48</v>
      </c>
      <c r="B51" s="73" t="s">
        <v>763</v>
      </c>
      <c r="C51" s="74" t="s">
        <v>528</v>
      </c>
      <c r="D51" s="74" t="s">
        <v>469</v>
      </c>
      <c r="E51" s="58" t="s">
        <v>534</v>
      </c>
      <c r="F51" s="74" t="s">
        <v>496</v>
      </c>
      <c r="G51" s="74" t="s">
        <v>1009</v>
      </c>
    </row>
    <row r="52" customFormat="false" ht="15" hidden="false" customHeight="true" outlineLevel="0" collapsed="false">
      <c r="A52" s="58" t="n">
        <v>49</v>
      </c>
      <c r="B52" s="73" t="s">
        <v>768</v>
      </c>
      <c r="C52" s="74" t="s">
        <v>528</v>
      </c>
      <c r="D52" s="74" t="s">
        <v>471</v>
      </c>
      <c r="E52" s="58" t="s">
        <v>495</v>
      </c>
      <c r="F52" s="74" t="s">
        <v>524</v>
      </c>
      <c r="G52" s="74" t="s">
        <v>1010</v>
      </c>
    </row>
    <row r="53" customFormat="false" ht="15" hidden="false" customHeight="true" outlineLevel="0" collapsed="false">
      <c r="A53" s="58" t="n">
        <v>50</v>
      </c>
      <c r="B53" s="73" t="s">
        <v>772</v>
      </c>
      <c r="C53" s="74" t="s">
        <v>528</v>
      </c>
      <c r="D53" s="74" t="s">
        <v>471</v>
      </c>
      <c r="E53" s="58" t="s">
        <v>495</v>
      </c>
      <c r="F53" s="74" t="s">
        <v>524</v>
      </c>
      <c r="G53" s="74" t="s">
        <v>1011</v>
      </c>
    </row>
    <row r="54" customFormat="false" ht="15" hidden="false" customHeight="true" outlineLevel="0" collapsed="false">
      <c r="A54" s="58" t="n">
        <v>51</v>
      </c>
      <c r="B54" s="73" t="s">
        <v>776</v>
      </c>
      <c r="C54" s="74" t="s">
        <v>528</v>
      </c>
      <c r="D54" s="74" t="s">
        <v>479</v>
      </c>
      <c r="E54" s="58" t="s">
        <v>495</v>
      </c>
      <c r="F54" s="74" t="s">
        <v>515</v>
      </c>
      <c r="G54" s="74" t="s">
        <v>1012</v>
      </c>
    </row>
    <row r="55" customFormat="false" ht="15" hidden="false" customHeight="true" outlineLevel="0" collapsed="false">
      <c r="A55" s="58" t="n">
        <v>52</v>
      </c>
      <c r="B55" s="73" t="s">
        <v>781</v>
      </c>
      <c r="C55" s="74" t="s">
        <v>528</v>
      </c>
      <c r="D55" s="74" t="s">
        <v>469</v>
      </c>
      <c r="E55" s="58" t="s">
        <v>495</v>
      </c>
      <c r="F55" s="74" t="s">
        <v>496</v>
      </c>
      <c r="G55" s="74" t="s">
        <v>1013</v>
      </c>
    </row>
    <row r="56" customFormat="false" ht="15" hidden="false" customHeight="true" outlineLevel="0" collapsed="false">
      <c r="A56" s="58" t="n">
        <v>53</v>
      </c>
      <c r="B56" s="73" t="s">
        <v>527</v>
      </c>
      <c r="C56" s="74" t="s">
        <v>528</v>
      </c>
      <c r="D56" s="74" t="s">
        <v>469</v>
      </c>
      <c r="E56" s="58" t="s">
        <v>495</v>
      </c>
      <c r="F56" s="74" t="s">
        <v>529</v>
      </c>
      <c r="G56" s="74" t="s">
        <v>1014</v>
      </c>
    </row>
    <row r="57" customFormat="false" ht="15" hidden="false" customHeight="true" outlineLevel="0" collapsed="false">
      <c r="A57" s="58" t="n">
        <v>54</v>
      </c>
      <c r="B57" s="73" t="s">
        <v>785</v>
      </c>
      <c r="C57" s="74" t="s">
        <v>528</v>
      </c>
      <c r="D57" s="74" t="s">
        <v>479</v>
      </c>
      <c r="E57" s="58" t="s">
        <v>495</v>
      </c>
      <c r="F57" s="74" t="s">
        <v>515</v>
      </c>
      <c r="G57" s="74" t="s">
        <v>1015</v>
      </c>
    </row>
    <row r="58" customFormat="false" ht="15" hidden="false" customHeight="true" outlineLevel="0" collapsed="false">
      <c r="A58" s="58" t="n">
        <v>55</v>
      </c>
      <c r="B58" s="73" t="s">
        <v>789</v>
      </c>
      <c r="C58" s="74" t="s">
        <v>528</v>
      </c>
      <c r="D58" s="74" t="s">
        <v>477</v>
      </c>
      <c r="E58" s="58" t="s">
        <v>495</v>
      </c>
      <c r="F58" s="74" t="s">
        <v>496</v>
      </c>
      <c r="G58" s="74" t="s">
        <v>1016</v>
      </c>
    </row>
    <row r="59" customFormat="false" ht="15" hidden="false" customHeight="true" outlineLevel="0" collapsed="false">
      <c r="A59" s="58" t="n">
        <v>56</v>
      </c>
      <c r="B59" s="73" t="s">
        <v>793</v>
      </c>
      <c r="C59" s="74" t="s">
        <v>528</v>
      </c>
      <c r="D59" s="74" t="s">
        <v>471</v>
      </c>
      <c r="E59" s="58" t="s">
        <v>495</v>
      </c>
      <c r="F59" s="74" t="s">
        <v>529</v>
      </c>
      <c r="G59" s="74" t="s">
        <v>1017</v>
      </c>
    </row>
    <row r="60" customFormat="false" ht="15" hidden="false" customHeight="true" outlineLevel="0" collapsed="false">
      <c r="A60" s="58" t="n">
        <v>57</v>
      </c>
      <c r="B60" s="73" t="s">
        <v>798</v>
      </c>
      <c r="C60" s="74" t="s">
        <v>528</v>
      </c>
      <c r="D60" s="74" t="s">
        <v>479</v>
      </c>
      <c r="E60" s="58" t="s">
        <v>495</v>
      </c>
      <c r="F60" s="74" t="s">
        <v>529</v>
      </c>
      <c r="G60" s="74" t="s">
        <v>1018</v>
      </c>
    </row>
    <row r="61" customFormat="false" ht="15" hidden="false" customHeight="true" outlineLevel="0" collapsed="false">
      <c r="A61" s="58" t="n">
        <v>58</v>
      </c>
      <c r="B61" s="73" t="s">
        <v>802</v>
      </c>
      <c r="C61" s="74" t="s">
        <v>528</v>
      </c>
      <c r="D61" s="74" t="s">
        <v>477</v>
      </c>
      <c r="E61" s="58" t="s">
        <v>501</v>
      </c>
      <c r="F61" s="74" t="s">
        <v>506</v>
      </c>
      <c r="G61" s="74" t="s">
        <v>1019</v>
      </c>
    </row>
    <row r="62" customFormat="false" ht="15" hidden="false" customHeight="true" outlineLevel="0" collapsed="false">
      <c r="A62" s="58" t="n">
        <v>59</v>
      </c>
      <c r="B62" s="73" t="s">
        <v>806</v>
      </c>
      <c r="C62" s="74" t="s">
        <v>528</v>
      </c>
      <c r="D62" s="74" t="s">
        <v>471</v>
      </c>
      <c r="E62" s="58" t="s">
        <v>501</v>
      </c>
      <c r="F62" s="74" t="s">
        <v>506</v>
      </c>
      <c r="G62" s="74" t="s">
        <v>1020</v>
      </c>
    </row>
    <row r="63" customFormat="false" ht="15" hidden="false" customHeight="true" outlineLevel="0" collapsed="false">
      <c r="A63" s="58" t="n">
        <v>60</v>
      </c>
      <c r="B63" s="73" t="s">
        <v>810</v>
      </c>
      <c r="C63" s="74" t="s">
        <v>528</v>
      </c>
      <c r="D63" s="74" t="s">
        <v>469</v>
      </c>
      <c r="E63" s="58" t="s">
        <v>501</v>
      </c>
      <c r="F63" s="74" t="s">
        <v>496</v>
      </c>
      <c r="G63" s="74" t="s">
        <v>1021</v>
      </c>
    </row>
    <row r="64" customFormat="false" ht="15" hidden="false" customHeight="true" outlineLevel="0" collapsed="false">
      <c r="A64" s="61" t="n">
        <v>61</v>
      </c>
      <c r="B64" s="75" t="s">
        <v>814</v>
      </c>
      <c r="C64" s="76" t="s">
        <v>533</v>
      </c>
      <c r="D64" s="76" t="s">
        <v>479</v>
      </c>
      <c r="E64" s="61" t="s">
        <v>501</v>
      </c>
      <c r="F64" s="76" t="s">
        <v>496</v>
      </c>
      <c r="G64" s="76" t="s">
        <v>1022</v>
      </c>
    </row>
    <row r="65" customFormat="false" ht="15" hidden="false" customHeight="true" outlineLevel="0" collapsed="false">
      <c r="A65" s="61" t="n">
        <v>62</v>
      </c>
      <c r="B65" s="75" t="s">
        <v>818</v>
      </c>
      <c r="C65" s="76" t="s">
        <v>533</v>
      </c>
      <c r="D65" s="76" t="s">
        <v>475</v>
      </c>
      <c r="E65" s="61" t="s">
        <v>495</v>
      </c>
      <c r="F65" s="76" t="s">
        <v>515</v>
      </c>
      <c r="G65" s="76" t="s">
        <v>1023</v>
      </c>
    </row>
    <row r="66" customFormat="false" ht="15" hidden="false" customHeight="true" outlineLevel="0" collapsed="false">
      <c r="A66" s="61" t="n">
        <v>63</v>
      </c>
      <c r="B66" s="75" t="s">
        <v>823</v>
      </c>
      <c r="C66" s="76" t="s">
        <v>533</v>
      </c>
      <c r="D66" s="76" t="s">
        <v>475</v>
      </c>
      <c r="E66" s="61" t="s">
        <v>534</v>
      </c>
      <c r="F66" s="76" t="s">
        <v>515</v>
      </c>
      <c r="G66" s="76" t="s">
        <v>1024</v>
      </c>
    </row>
    <row r="67" customFormat="false" ht="15" hidden="false" customHeight="true" outlineLevel="0" collapsed="false">
      <c r="A67" s="61" t="n">
        <v>64</v>
      </c>
      <c r="B67" s="75" t="s">
        <v>827</v>
      </c>
      <c r="C67" s="76" t="s">
        <v>533</v>
      </c>
      <c r="D67" s="76" t="s">
        <v>473</v>
      </c>
      <c r="E67" s="61" t="s">
        <v>495</v>
      </c>
      <c r="F67" s="76" t="s">
        <v>524</v>
      </c>
      <c r="G67" s="76" t="s">
        <v>1025</v>
      </c>
    </row>
    <row r="68" customFormat="false" ht="15" hidden="false" customHeight="true" outlineLevel="0" collapsed="false">
      <c r="A68" s="61" t="n">
        <v>65</v>
      </c>
      <c r="B68" s="75" t="s">
        <v>532</v>
      </c>
      <c r="C68" s="76" t="s">
        <v>533</v>
      </c>
      <c r="D68" s="76" t="s">
        <v>477</v>
      </c>
      <c r="E68" s="61" t="s">
        <v>534</v>
      </c>
      <c r="F68" s="76" t="s">
        <v>496</v>
      </c>
      <c r="G68" s="76" t="s">
        <v>1026</v>
      </c>
    </row>
    <row r="69" customFormat="false" ht="15" hidden="false" customHeight="true" outlineLevel="0" collapsed="false">
      <c r="A69" s="61" t="n">
        <v>66</v>
      </c>
      <c r="B69" s="75" t="s">
        <v>831</v>
      </c>
      <c r="C69" s="76" t="s">
        <v>533</v>
      </c>
      <c r="D69" s="76" t="s">
        <v>479</v>
      </c>
      <c r="E69" s="61" t="s">
        <v>501</v>
      </c>
      <c r="F69" s="76" t="s">
        <v>506</v>
      </c>
      <c r="G69" s="76" t="s">
        <v>1027</v>
      </c>
    </row>
    <row r="70" customFormat="false" ht="15" hidden="false" customHeight="true" outlineLevel="0" collapsed="false">
      <c r="A70" s="61" t="n">
        <v>67</v>
      </c>
      <c r="B70" s="75" t="s">
        <v>835</v>
      </c>
      <c r="C70" s="76" t="s">
        <v>533</v>
      </c>
      <c r="D70" s="76" t="s">
        <v>477</v>
      </c>
      <c r="E70" s="61" t="s">
        <v>501</v>
      </c>
      <c r="F70" s="76" t="s">
        <v>496</v>
      </c>
      <c r="G70" s="76" t="s">
        <v>1028</v>
      </c>
    </row>
    <row r="71" customFormat="false" ht="15" hidden="false" customHeight="true" outlineLevel="0" collapsed="false">
      <c r="A71" s="61" t="n">
        <v>68</v>
      </c>
      <c r="B71" s="75" t="s">
        <v>839</v>
      </c>
      <c r="C71" s="76" t="s">
        <v>533</v>
      </c>
      <c r="D71" s="76" t="s">
        <v>471</v>
      </c>
      <c r="E71" s="61" t="s">
        <v>495</v>
      </c>
      <c r="F71" s="76" t="s">
        <v>524</v>
      </c>
      <c r="G71" s="76" t="s">
        <v>1029</v>
      </c>
    </row>
    <row r="72" customFormat="false" ht="15" hidden="false" customHeight="true" outlineLevel="0" collapsed="false">
      <c r="A72" s="61" t="n">
        <v>69</v>
      </c>
      <c r="B72" s="75" t="s">
        <v>843</v>
      </c>
      <c r="C72" s="76" t="s">
        <v>533</v>
      </c>
      <c r="D72" s="76" t="s">
        <v>471</v>
      </c>
      <c r="E72" s="61" t="s">
        <v>495</v>
      </c>
      <c r="F72" s="76" t="s">
        <v>515</v>
      </c>
      <c r="G72" s="76" t="s">
        <v>1030</v>
      </c>
    </row>
    <row r="73" customFormat="false" ht="15" hidden="false" customHeight="true" outlineLevel="0" collapsed="false">
      <c r="A73" s="54" t="n">
        <v>70</v>
      </c>
      <c r="B73" s="77" t="s">
        <v>848</v>
      </c>
      <c r="C73" s="78" t="s">
        <v>519</v>
      </c>
      <c r="D73" s="78" t="s">
        <v>471</v>
      </c>
      <c r="E73" s="54" t="s">
        <v>495</v>
      </c>
      <c r="F73" s="78" t="s">
        <v>496</v>
      </c>
      <c r="G73" s="78" t="s">
        <v>1031</v>
      </c>
    </row>
    <row r="74" customFormat="false" ht="15" hidden="false" customHeight="true" outlineLevel="0" collapsed="false">
      <c r="A74" s="54" t="n">
        <v>71</v>
      </c>
      <c r="B74" s="77" t="s">
        <v>852</v>
      </c>
      <c r="C74" s="78" t="s">
        <v>519</v>
      </c>
      <c r="D74" s="78" t="s">
        <v>475</v>
      </c>
      <c r="E74" s="54" t="s">
        <v>495</v>
      </c>
      <c r="F74" s="78" t="s">
        <v>515</v>
      </c>
      <c r="G74" s="78" t="s">
        <v>1032</v>
      </c>
    </row>
    <row r="75" customFormat="false" ht="15" hidden="false" customHeight="true" outlineLevel="0" collapsed="false">
      <c r="A75" s="54" t="n">
        <v>72</v>
      </c>
      <c r="B75" s="77" t="s">
        <v>856</v>
      </c>
      <c r="C75" s="78" t="s">
        <v>519</v>
      </c>
      <c r="D75" s="78" t="s">
        <v>475</v>
      </c>
      <c r="E75" s="54" t="s">
        <v>495</v>
      </c>
      <c r="F75" s="78" t="s">
        <v>515</v>
      </c>
      <c r="G75" s="78" t="s">
        <v>981</v>
      </c>
    </row>
    <row r="76" customFormat="false" ht="15" hidden="false" customHeight="true" outlineLevel="0" collapsed="false">
      <c r="A76" s="54" t="n">
        <v>73</v>
      </c>
      <c r="B76" s="77" t="s">
        <v>860</v>
      </c>
      <c r="C76" s="78" t="s">
        <v>519</v>
      </c>
      <c r="D76" s="78" t="s">
        <v>471</v>
      </c>
      <c r="E76" s="54" t="s">
        <v>501</v>
      </c>
      <c r="F76" s="78" t="s">
        <v>496</v>
      </c>
      <c r="G76" s="78" t="s">
        <v>1033</v>
      </c>
    </row>
    <row r="77" customFormat="false" ht="15" hidden="false" customHeight="true" outlineLevel="0" collapsed="false">
      <c r="A77" s="54" t="n">
        <v>74</v>
      </c>
      <c r="B77" s="77" t="s">
        <v>864</v>
      </c>
      <c r="C77" s="78" t="s">
        <v>519</v>
      </c>
      <c r="D77" s="78" t="s">
        <v>479</v>
      </c>
      <c r="E77" s="54" t="s">
        <v>495</v>
      </c>
      <c r="F77" s="78" t="s">
        <v>515</v>
      </c>
      <c r="G77" s="78" t="s">
        <v>1034</v>
      </c>
    </row>
    <row r="78" customFormat="false" ht="15" hidden="false" customHeight="true" outlineLevel="0" collapsed="false">
      <c r="A78" s="54" t="n">
        <v>75</v>
      </c>
      <c r="B78" s="77" t="s">
        <v>868</v>
      </c>
      <c r="C78" s="78" t="s">
        <v>519</v>
      </c>
      <c r="D78" s="78" t="s">
        <v>477</v>
      </c>
      <c r="E78" s="54" t="s">
        <v>501</v>
      </c>
      <c r="F78" s="78" t="s">
        <v>496</v>
      </c>
      <c r="G78" s="78" t="s">
        <v>1035</v>
      </c>
    </row>
    <row r="79" customFormat="false" ht="15" hidden="false" customHeight="true" outlineLevel="0" collapsed="false">
      <c r="A79" s="54" t="n">
        <v>76</v>
      </c>
      <c r="B79" s="77" t="s">
        <v>872</v>
      </c>
      <c r="C79" s="78" t="s">
        <v>519</v>
      </c>
      <c r="D79" s="78" t="s">
        <v>469</v>
      </c>
      <c r="E79" s="54" t="s">
        <v>501</v>
      </c>
      <c r="F79" s="78" t="s">
        <v>506</v>
      </c>
      <c r="G79" s="78" t="s">
        <v>1036</v>
      </c>
    </row>
    <row r="80" customFormat="false" ht="15" hidden="false" customHeight="true" outlineLevel="0" collapsed="false">
      <c r="A80" s="54" t="n">
        <v>77</v>
      </c>
      <c r="B80" s="77" t="s">
        <v>518</v>
      </c>
      <c r="C80" s="78" t="s">
        <v>519</v>
      </c>
      <c r="D80" s="78" t="s">
        <v>479</v>
      </c>
      <c r="E80" s="54" t="s">
        <v>495</v>
      </c>
      <c r="F80" s="78" t="s">
        <v>515</v>
      </c>
      <c r="G80" s="78" t="s">
        <v>1037</v>
      </c>
    </row>
    <row r="81" customFormat="false" ht="15" hidden="false" customHeight="true" outlineLevel="0" collapsed="false">
      <c r="A81" s="57" t="n">
        <v>78</v>
      </c>
      <c r="B81" s="79" t="s">
        <v>877</v>
      </c>
      <c r="C81" s="80" t="s">
        <v>523</v>
      </c>
      <c r="D81" s="80" t="s">
        <v>469</v>
      </c>
      <c r="E81" s="57" t="s">
        <v>501</v>
      </c>
      <c r="F81" s="80" t="s">
        <v>529</v>
      </c>
      <c r="G81" s="80" t="s">
        <v>1038</v>
      </c>
    </row>
    <row r="82" customFormat="false" ht="15" hidden="false" customHeight="true" outlineLevel="0" collapsed="false">
      <c r="A82" s="57" t="n">
        <v>79</v>
      </c>
      <c r="B82" s="79" t="s">
        <v>881</v>
      </c>
      <c r="C82" s="80" t="s">
        <v>523</v>
      </c>
      <c r="D82" s="80" t="s">
        <v>477</v>
      </c>
      <c r="E82" s="57" t="s">
        <v>495</v>
      </c>
      <c r="F82" s="80" t="s">
        <v>506</v>
      </c>
      <c r="G82" s="80" t="s">
        <v>1039</v>
      </c>
    </row>
    <row r="83" customFormat="false" ht="15" hidden="false" customHeight="true" outlineLevel="0" collapsed="false">
      <c r="A83" s="57" t="n">
        <v>80</v>
      </c>
      <c r="B83" s="79" t="s">
        <v>885</v>
      </c>
      <c r="C83" s="80" t="s">
        <v>523</v>
      </c>
      <c r="D83" s="80" t="s">
        <v>473</v>
      </c>
      <c r="E83" s="57" t="s">
        <v>495</v>
      </c>
      <c r="F83" s="80" t="s">
        <v>524</v>
      </c>
      <c r="G83" s="80" t="s">
        <v>1040</v>
      </c>
    </row>
    <row r="84" customFormat="false" ht="15" hidden="false" customHeight="true" outlineLevel="0" collapsed="false">
      <c r="A84" s="57" t="n">
        <v>81</v>
      </c>
      <c r="B84" s="79" t="s">
        <v>889</v>
      </c>
      <c r="C84" s="80" t="s">
        <v>523</v>
      </c>
      <c r="D84" s="80" t="s">
        <v>479</v>
      </c>
      <c r="E84" s="57" t="s">
        <v>501</v>
      </c>
      <c r="F84" s="80" t="s">
        <v>524</v>
      </c>
      <c r="G84" s="80" t="s">
        <v>1041</v>
      </c>
    </row>
    <row r="85" customFormat="false" ht="15" hidden="false" customHeight="true" outlineLevel="0" collapsed="false">
      <c r="A85" s="57" t="n">
        <v>82</v>
      </c>
      <c r="B85" s="79" t="s">
        <v>522</v>
      </c>
      <c r="C85" s="80" t="s">
        <v>523</v>
      </c>
      <c r="D85" s="80" t="s">
        <v>471</v>
      </c>
      <c r="E85" s="57" t="s">
        <v>495</v>
      </c>
      <c r="F85" s="80" t="s">
        <v>524</v>
      </c>
      <c r="G85" s="80" t="s">
        <v>1042</v>
      </c>
    </row>
    <row r="86" customFormat="false" ht="15" hidden="false" customHeight="true" outlineLevel="0" collapsed="false">
      <c r="A86" s="57" t="n">
        <v>83</v>
      </c>
      <c r="B86" s="79" t="s">
        <v>893</v>
      </c>
      <c r="C86" s="80" t="s">
        <v>523</v>
      </c>
      <c r="D86" s="80" t="s">
        <v>477</v>
      </c>
      <c r="E86" s="57" t="s">
        <v>501</v>
      </c>
      <c r="F86" s="80" t="s">
        <v>496</v>
      </c>
      <c r="G86" s="80" t="s">
        <v>1043</v>
      </c>
    </row>
    <row r="87" customFormat="false" ht="15" hidden="false" customHeight="true" outlineLevel="0" collapsed="false">
      <c r="A87" s="57" t="n">
        <v>84</v>
      </c>
      <c r="B87" s="79" t="s">
        <v>897</v>
      </c>
      <c r="C87" s="80" t="s">
        <v>523</v>
      </c>
      <c r="D87" s="80" t="s">
        <v>473</v>
      </c>
      <c r="E87" s="57" t="s">
        <v>495</v>
      </c>
      <c r="F87" s="80" t="s">
        <v>529</v>
      </c>
      <c r="G87" s="80" t="s">
        <v>1044</v>
      </c>
    </row>
    <row r="88" customFormat="false" ht="15" hidden="false" customHeight="true" outlineLevel="0" collapsed="false">
      <c r="A88" s="57" t="n">
        <v>85</v>
      </c>
      <c r="B88" s="79" t="s">
        <v>901</v>
      </c>
      <c r="C88" s="80" t="s">
        <v>523</v>
      </c>
      <c r="D88" s="80" t="s">
        <v>473</v>
      </c>
      <c r="E88" s="57" t="s">
        <v>501</v>
      </c>
      <c r="F88" s="80" t="s">
        <v>496</v>
      </c>
      <c r="G88" s="80" t="s">
        <v>1045</v>
      </c>
    </row>
    <row r="89" customFormat="false" ht="15" hidden="false" customHeight="true" outlineLevel="0" collapsed="false">
      <c r="A89" s="45" t="n">
        <v>86</v>
      </c>
      <c r="B89" s="81" t="s">
        <v>905</v>
      </c>
      <c r="C89" s="82" t="s">
        <v>500</v>
      </c>
      <c r="D89" s="82" t="s">
        <v>471</v>
      </c>
      <c r="E89" s="45" t="s">
        <v>495</v>
      </c>
      <c r="F89" s="82" t="s">
        <v>529</v>
      </c>
      <c r="G89" s="82" t="s">
        <v>1046</v>
      </c>
    </row>
    <row r="90" customFormat="false" ht="15" hidden="false" customHeight="true" outlineLevel="0" collapsed="false">
      <c r="A90" s="45" t="n">
        <v>87</v>
      </c>
      <c r="B90" s="81" t="s">
        <v>909</v>
      </c>
      <c r="C90" s="82" t="s">
        <v>500</v>
      </c>
      <c r="D90" s="82" t="s">
        <v>477</v>
      </c>
      <c r="E90" s="45" t="s">
        <v>534</v>
      </c>
      <c r="F90" s="82" t="s">
        <v>496</v>
      </c>
      <c r="G90" s="82" t="s">
        <v>1047</v>
      </c>
    </row>
    <row r="91" customFormat="false" ht="15" hidden="false" customHeight="true" outlineLevel="0" collapsed="false">
      <c r="A91" s="45" t="n">
        <v>88</v>
      </c>
      <c r="B91" s="81" t="s">
        <v>913</v>
      </c>
      <c r="C91" s="82" t="s">
        <v>500</v>
      </c>
      <c r="D91" s="82" t="s">
        <v>475</v>
      </c>
      <c r="E91" s="45" t="s">
        <v>495</v>
      </c>
      <c r="F91" s="82" t="s">
        <v>515</v>
      </c>
      <c r="G91" s="82" t="s">
        <v>1048</v>
      </c>
    </row>
    <row r="92" customFormat="false" ht="15" hidden="false" customHeight="true" outlineLevel="0" collapsed="false">
      <c r="A92" s="45" t="n">
        <v>89</v>
      </c>
      <c r="B92" s="81" t="s">
        <v>499</v>
      </c>
      <c r="C92" s="82" t="s">
        <v>500</v>
      </c>
      <c r="D92" s="82" t="s">
        <v>479</v>
      </c>
      <c r="E92" s="45" t="s">
        <v>501</v>
      </c>
      <c r="F92" s="82" t="s">
        <v>496</v>
      </c>
      <c r="G92" s="82" t="s">
        <v>1049</v>
      </c>
    </row>
    <row r="93" customFormat="false" ht="15" hidden="false" customHeight="true" outlineLevel="0" collapsed="false">
      <c r="A93" s="45" t="n">
        <v>90</v>
      </c>
      <c r="B93" s="81" t="s">
        <v>917</v>
      </c>
      <c r="C93" s="82" t="s">
        <v>500</v>
      </c>
      <c r="D93" s="82" t="s">
        <v>473</v>
      </c>
      <c r="E93" s="45" t="s">
        <v>495</v>
      </c>
      <c r="F93" s="82" t="s">
        <v>515</v>
      </c>
      <c r="G93" s="82" t="s">
        <v>1050</v>
      </c>
    </row>
    <row r="94" customFormat="false" ht="15" hidden="false" customHeight="true" outlineLevel="0" collapsed="false">
      <c r="A94" s="45" t="n">
        <v>91</v>
      </c>
      <c r="B94" s="81" t="s">
        <v>921</v>
      </c>
      <c r="C94" s="82" t="s">
        <v>500</v>
      </c>
      <c r="D94" s="82" t="s">
        <v>469</v>
      </c>
      <c r="E94" s="45" t="s">
        <v>534</v>
      </c>
      <c r="F94" s="82" t="s">
        <v>524</v>
      </c>
      <c r="G94" s="82" t="s">
        <v>1051</v>
      </c>
    </row>
    <row r="95" customFormat="false" ht="15" hidden="false" customHeight="true" outlineLevel="0" collapsed="false">
      <c r="A95" s="51" t="n">
        <v>92</v>
      </c>
      <c r="B95" s="83" t="s">
        <v>925</v>
      </c>
      <c r="C95" s="84" t="s">
        <v>514</v>
      </c>
      <c r="D95" s="84" t="s">
        <v>479</v>
      </c>
      <c r="E95" s="51" t="s">
        <v>534</v>
      </c>
      <c r="F95" s="84" t="s">
        <v>515</v>
      </c>
      <c r="G95" s="84" t="s">
        <v>1052</v>
      </c>
    </row>
    <row r="96" customFormat="false" ht="15" hidden="false" customHeight="true" outlineLevel="0" collapsed="false">
      <c r="A96" s="51" t="n">
        <v>93</v>
      </c>
      <c r="B96" s="83" t="s">
        <v>930</v>
      </c>
      <c r="C96" s="84" t="s">
        <v>514</v>
      </c>
      <c r="D96" s="84" t="s">
        <v>475</v>
      </c>
      <c r="E96" s="51" t="s">
        <v>534</v>
      </c>
      <c r="F96" s="84" t="s">
        <v>496</v>
      </c>
      <c r="G96" s="84" t="s">
        <v>1053</v>
      </c>
    </row>
    <row r="97" customFormat="false" ht="15" hidden="false" customHeight="true" outlineLevel="0" collapsed="false">
      <c r="A97" s="51" t="n">
        <v>94</v>
      </c>
      <c r="B97" s="83" t="s">
        <v>934</v>
      </c>
      <c r="C97" s="84" t="s">
        <v>514</v>
      </c>
      <c r="D97" s="84" t="s">
        <v>471</v>
      </c>
      <c r="E97" s="51" t="s">
        <v>495</v>
      </c>
      <c r="F97" s="84" t="s">
        <v>524</v>
      </c>
      <c r="G97" s="84" t="s">
        <v>1054</v>
      </c>
    </row>
    <row r="98" customFormat="false" ht="15" hidden="false" customHeight="true" outlineLevel="0" collapsed="false">
      <c r="A98" s="51" t="n">
        <v>95</v>
      </c>
      <c r="B98" s="83" t="s">
        <v>513</v>
      </c>
      <c r="C98" s="84" t="s">
        <v>514</v>
      </c>
      <c r="D98" s="84" t="s">
        <v>477</v>
      </c>
      <c r="E98" s="51" t="s">
        <v>495</v>
      </c>
      <c r="F98" s="84" t="s">
        <v>515</v>
      </c>
      <c r="G98" s="84" t="s">
        <v>1055</v>
      </c>
    </row>
    <row r="99" customFormat="false" ht="15" hidden="false" customHeight="true" outlineLevel="0" collapsed="false">
      <c r="A99" s="51" t="n">
        <v>96</v>
      </c>
      <c r="B99" s="83" t="s">
        <v>938</v>
      </c>
      <c r="C99" s="84" t="s">
        <v>514</v>
      </c>
      <c r="D99" s="84" t="s">
        <v>479</v>
      </c>
      <c r="E99" s="51" t="s">
        <v>501</v>
      </c>
      <c r="F99" s="84" t="s">
        <v>506</v>
      </c>
      <c r="G99" s="84" t="s">
        <v>1056</v>
      </c>
    </row>
    <row r="100" customFormat="false" ht="15" hidden="false" customHeight="true" outlineLevel="0" collapsed="false">
      <c r="A100" s="85" t="n">
        <v>97</v>
      </c>
      <c r="B100" s="86" t="s">
        <v>942</v>
      </c>
      <c r="C100" s="87" t="s">
        <v>943</v>
      </c>
      <c r="D100" s="87" t="s">
        <v>469</v>
      </c>
      <c r="E100" s="85" t="s">
        <v>534</v>
      </c>
      <c r="F100" s="87" t="s">
        <v>496</v>
      </c>
      <c r="G100" s="87" t="s">
        <v>1057</v>
      </c>
    </row>
    <row r="101" customFormat="false" ht="15" hidden="false" customHeight="true" outlineLevel="0" collapsed="false">
      <c r="A101" s="85" t="n">
        <v>98</v>
      </c>
      <c r="B101" s="86" t="s">
        <v>947</v>
      </c>
      <c r="C101" s="87" t="s">
        <v>943</v>
      </c>
      <c r="D101" s="87" t="s">
        <v>471</v>
      </c>
      <c r="E101" s="85" t="s">
        <v>495</v>
      </c>
      <c r="F101" s="87" t="s">
        <v>524</v>
      </c>
      <c r="G101" s="87" t="s">
        <v>1058</v>
      </c>
    </row>
    <row r="102" customFormat="false" ht="15" hidden="false" customHeight="true" outlineLevel="0" collapsed="false">
      <c r="A102" s="85" t="n">
        <v>99</v>
      </c>
      <c r="B102" s="86" t="s">
        <v>951</v>
      </c>
      <c r="C102" s="87" t="s">
        <v>943</v>
      </c>
      <c r="D102" s="87" t="s">
        <v>473</v>
      </c>
      <c r="E102" s="85" t="s">
        <v>495</v>
      </c>
      <c r="F102" s="87" t="s">
        <v>496</v>
      </c>
      <c r="G102" s="87" t="s">
        <v>1059</v>
      </c>
    </row>
    <row r="103" customFormat="false" ht="15" hidden="false" customHeight="true" outlineLevel="0" collapsed="false">
      <c r="A103" s="85" t="n">
        <v>100</v>
      </c>
      <c r="B103" s="86" t="s">
        <v>955</v>
      </c>
      <c r="C103" s="87" t="s">
        <v>943</v>
      </c>
      <c r="D103" s="87" t="s">
        <v>475</v>
      </c>
      <c r="E103" s="85" t="s">
        <v>495</v>
      </c>
      <c r="F103" s="87" t="s">
        <v>515</v>
      </c>
      <c r="G103" s="87" t="s">
        <v>1060</v>
      </c>
    </row>
  </sheetData>
  <autoFilter ref="A3:G10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46"/>
    <col collapsed="false" customWidth="true" hidden="false" outlineLevel="0" max="10" min="10" style="1" width="24"/>
    <col collapsed="false" customWidth="true" hidden="false" outlineLevel="0" max="11" min="11" style="1" width="16"/>
    <col collapsed="false" customWidth="true" hidden="false" outlineLevel="0" max="12" min="12" style="1" width="7"/>
    <col collapsed="false" customWidth="true" hidden="false" outlineLevel="0" max="13" min="13" style="1" width="52"/>
    <col collapsed="false" customWidth="true" hidden="false" outlineLevel="0" max="14" min="14" style="1" width="26"/>
    <col collapsed="false" customWidth="true" hidden="false" outlineLevel="0" max="15" min="15" style="1" width="18"/>
    <col collapsed="false" customWidth="true" hidden="false" outlineLevel="0" max="16" min="16" style="1" width="7"/>
    <col collapsed="false" customWidth="true" hidden="false" outlineLevel="0" max="17" min="17" style="1" width="54"/>
    <col collapsed="false" customWidth="true" hidden="false" outlineLevel="0" max="18" min="18" style="1" width="26"/>
    <col collapsed="false" customWidth="true" hidden="false" outlineLevel="0" max="19" min="19" style="1" width="56"/>
  </cols>
  <sheetData>
    <row r="1" customFormat="false" ht="24" hidden="false" customHeight="true" outlineLevel="0" collapsed="false">
      <c r="A1" s="2" t="s">
        <v>1061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7.75" hidden="false" customHeight="true" outlineLevel="0" collapsed="false">
      <c r="A2" s="66" t="s">
        <v>1062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customFormat="false" ht="30" hidden="false" customHeight="true" outlineLevel="0" collapsed="false">
      <c r="A3" s="6" t="s">
        <v>73</v>
      </c>
      <c r="B3" s="6" t="s">
        <v>487</v>
      </c>
      <c r="C3" s="6" t="s">
        <v>488</v>
      </c>
      <c r="D3" s="6" t="s">
        <v>466</v>
      </c>
      <c r="E3" s="6" t="s">
        <v>489</v>
      </c>
      <c r="F3" s="6" t="s">
        <v>490</v>
      </c>
      <c r="G3" s="6" t="s">
        <v>1063</v>
      </c>
      <c r="H3" s="6" t="s">
        <v>1064</v>
      </c>
      <c r="I3" s="6" t="s">
        <v>1065</v>
      </c>
      <c r="J3" s="6" t="s">
        <v>1066</v>
      </c>
      <c r="K3" s="6" t="s">
        <v>1064</v>
      </c>
      <c r="L3" s="6" t="s">
        <v>1067</v>
      </c>
      <c r="M3" s="6" t="s">
        <v>1065</v>
      </c>
      <c r="N3" s="6" t="s">
        <v>1068</v>
      </c>
      <c r="O3" s="6" t="s">
        <v>1064</v>
      </c>
      <c r="P3" s="6" t="s">
        <v>1067</v>
      </c>
      <c r="Q3" s="6" t="s">
        <v>1065</v>
      </c>
      <c r="R3" s="6" t="s">
        <v>1069</v>
      </c>
      <c r="S3" s="6" t="s">
        <v>1065</v>
      </c>
    </row>
    <row r="4" customFormat="false" ht="57.75" hidden="false" customHeight="true" outlineLevel="0" collapsed="false">
      <c r="A4" s="42" t="n">
        <v>1</v>
      </c>
      <c r="B4" s="43" t="s">
        <v>493</v>
      </c>
      <c r="C4" s="44" t="s">
        <v>494</v>
      </c>
      <c r="D4" s="44" t="s">
        <v>469</v>
      </c>
      <c r="E4" s="42" t="s">
        <v>495</v>
      </c>
      <c r="F4" s="44" t="s">
        <v>496</v>
      </c>
      <c r="G4" s="17" t="s">
        <v>1070</v>
      </c>
      <c r="H4" s="18" t="s">
        <v>1071</v>
      </c>
      <c r="I4" s="7" t="s">
        <v>1072</v>
      </c>
      <c r="J4" s="17" t="s">
        <v>1073</v>
      </c>
      <c r="K4" s="18" t="s">
        <v>1074</v>
      </c>
      <c r="L4" s="16" t="n">
        <v>2</v>
      </c>
      <c r="M4" s="7" t="s">
        <v>1075</v>
      </c>
      <c r="N4" s="17" t="s">
        <v>1076</v>
      </c>
      <c r="O4" s="18" t="s">
        <v>1077</v>
      </c>
      <c r="P4" s="16" t="n">
        <v>4</v>
      </c>
      <c r="Q4" s="7" t="s">
        <v>1078</v>
      </c>
      <c r="R4" s="17" t="s">
        <v>1079</v>
      </c>
      <c r="S4" s="7" t="s">
        <v>1080</v>
      </c>
    </row>
    <row r="5" customFormat="false" ht="57.75" hidden="false" customHeight="true" outlineLevel="0" collapsed="false">
      <c r="A5" s="42" t="n">
        <v>2</v>
      </c>
      <c r="B5" s="43" t="s">
        <v>572</v>
      </c>
      <c r="C5" s="44" t="s">
        <v>494</v>
      </c>
      <c r="D5" s="44" t="s">
        <v>471</v>
      </c>
      <c r="E5" s="42" t="s">
        <v>495</v>
      </c>
      <c r="F5" s="44" t="s">
        <v>524</v>
      </c>
      <c r="G5" s="17" t="s">
        <v>1081</v>
      </c>
      <c r="H5" s="18" t="s">
        <v>1082</v>
      </c>
      <c r="I5" s="7" t="s">
        <v>1072</v>
      </c>
      <c r="J5" s="17" t="s">
        <v>1083</v>
      </c>
      <c r="K5" s="18" t="s">
        <v>1084</v>
      </c>
      <c r="L5" s="16" t="n">
        <v>3</v>
      </c>
      <c r="M5" s="7" t="s">
        <v>1085</v>
      </c>
      <c r="N5" s="17" t="s">
        <v>1086</v>
      </c>
      <c r="O5" s="18" t="s">
        <v>1087</v>
      </c>
      <c r="P5" s="16" t="n">
        <v>4</v>
      </c>
      <c r="Q5" s="7" t="s">
        <v>1088</v>
      </c>
      <c r="R5" s="17" t="s">
        <v>1089</v>
      </c>
      <c r="S5" s="7" t="s">
        <v>1090</v>
      </c>
    </row>
    <row r="6" customFormat="false" ht="57.75" hidden="false" customHeight="true" outlineLevel="0" collapsed="false">
      <c r="A6" s="42" t="n">
        <v>3</v>
      </c>
      <c r="B6" s="43" t="s">
        <v>578</v>
      </c>
      <c r="C6" s="44" t="s">
        <v>494</v>
      </c>
      <c r="D6" s="44" t="s">
        <v>473</v>
      </c>
      <c r="E6" s="42" t="s">
        <v>495</v>
      </c>
      <c r="F6" s="44" t="s">
        <v>496</v>
      </c>
      <c r="G6" s="17" t="s">
        <v>1091</v>
      </c>
      <c r="H6" s="18" t="s">
        <v>1092</v>
      </c>
      <c r="I6" s="7" t="s">
        <v>1072</v>
      </c>
      <c r="J6" s="17" t="s">
        <v>1093</v>
      </c>
      <c r="K6" s="18" t="s">
        <v>1094</v>
      </c>
      <c r="L6" s="16" t="n">
        <v>2</v>
      </c>
      <c r="M6" s="7" t="s">
        <v>1095</v>
      </c>
      <c r="N6" s="17" t="s">
        <v>1096</v>
      </c>
      <c r="O6" s="18" t="s">
        <v>1097</v>
      </c>
      <c r="P6" s="16" t="n">
        <v>4</v>
      </c>
      <c r="Q6" s="7" t="s">
        <v>1098</v>
      </c>
      <c r="R6" s="17" t="s">
        <v>1099</v>
      </c>
      <c r="S6" s="7" t="s">
        <v>1100</v>
      </c>
    </row>
    <row r="7" customFormat="false" ht="57.75" hidden="false" customHeight="true" outlineLevel="0" collapsed="false">
      <c r="A7" s="42" t="n">
        <v>4</v>
      </c>
      <c r="B7" s="43" t="s">
        <v>583</v>
      </c>
      <c r="C7" s="44" t="s">
        <v>494</v>
      </c>
      <c r="D7" s="44" t="s">
        <v>475</v>
      </c>
      <c r="E7" s="42" t="s">
        <v>495</v>
      </c>
      <c r="F7" s="44" t="s">
        <v>515</v>
      </c>
      <c r="G7" s="17" t="s">
        <v>1101</v>
      </c>
      <c r="H7" s="18" t="s">
        <v>1102</v>
      </c>
      <c r="I7" s="7" t="s">
        <v>1103</v>
      </c>
      <c r="J7" s="17" t="s">
        <v>1104</v>
      </c>
      <c r="K7" s="18" t="s">
        <v>1105</v>
      </c>
      <c r="L7" s="16" t="n">
        <v>2</v>
      </c>
      <c r="M7" s="7" t="s">
        <v>1106</v>
      </c>
      <c r="N7" s="17" t="s">
        <v>1107</v>
      </c>
      <c r="O7" s="18" t="s">
        <v>1108</v>
      </c>
      <c r="P7" s="16" t="n">
        <v>4</v>
      </c>
      <c r="Q7" s="7" t="s">
        <v>1109</v>
      </c>
      <c r="R7" s="17" t="s">
        <v>1110</v>
      </c>
      <c r="S7" s="7" t="s">
        <v>1111</v>
      </c>
    </row>
    <row r="8" customFormat="false" ht="57.75" hidden="false" customHeight="true" outlineLevel="0" collapsed="false">
      <c r="A8" s="42" t="n">
        <v>5</v>
      </c>
      <c r="B8" s="43" t="s">
        <v>588</v>
      </c>
      <c r="C8" s="44" t="s">
        <v>494</v>
      </c>
      <c r="D8" s="44" t="s">
        <v>477</v>
      </c>
      <c r="E8" s="42" t="s">
        <v>501</v>
      </c>
      <c r="F8" s="44" t="s">
        <v>496</v>
      </c>
      <c r="G8" s="17" t="s">
        <v>1112</v>
      </c>
      <c r="H8" s="18" t="s">
        <v>1113</v>
      </c>
      <c r="I8" s="7" t="s">
        <v>1114</v>
      </c>
      <c r="J8" s="17" t="s">
        <v>1115</v>
      </c>
      <c r="K8" s="18" t="s">
        <v>1116</v>
      </c>
      <c r="L8" s="16" t="n">
        <v>1</v>
      </c>
      <c r="M8" s="7" t="s">
        <v>1117</v>
      </c>
      <c r="N8" s="17" t="s">
        <v>1118</v>
      </c>
      <c r="O8" s="18" t="s">
        <v>1119</v>
      </c>
      <c r="P8" s="16" t="n">
        <v>3</v>
      </c>
      <c r="Q8" s="7" t="s">
        <v>1120</v>
      </c>
      <c r="R8" s="17" t="s">
        <v>1121</v>
      </c>
      <c r="S8" s="7" t="s">
        <v>1122</v>
      </c>
    </row>
    <row r="9" customFormat="false" ht="57.75" hidden="false" customHeight="true" outlineLevel="0" collapsed="false">
      <c r="A9" s="42" t="n">
        <v>6</v>
      </c>
      <c r="B9" s="43" t="s">
        <v>593</v>
      </c>
      <c r="C9" s="44" t="s">
        <v>494</v>
      </c>
      <c r="D9" s="44" t="s">
        <v>475</v>
      </c>
      <c r="E9" s="42" t="s">
        <v>495</v>
      </c>
      <c r="F9" s="44" t="s">
        <v>496</v>
      </c>
      <c r="G9" s="17" t="s">
        <v>1123</v>
      </c>
      <c r="H9" s="18" t="s">
        <v>1102</v>
      </c>
      <c r="I9" s="7" t="s">
        <v>1072</v>
      </c>
      <c r="J9" s="17" t="s">
        <v>1124</v>
      </c>
      <c r="K9" s="18" t="s">
        <v>1125</v>
      </c>
      <c r="L9" s="16" t="n">
        <v>2</v>
      </c>
      <c r="M9" s="7" t="s">
        <v>1126</v>
      </c>
      <c r="N9" s="17" t="s">
        <v>1127</v>
      </c>
      <c r="O9" s="18" t="s">
        <v>1108</v>
      </c>
      <c r="P9" s="16" t="n">
        <v>4</v>
      </c>
      <c r="Q9" s="7" t="s">
        <v>1128</v>
      </c>
      <c r="R9" s="17" t="s">
        <v>1129</v>
      </c>
      <c r="S9" s="7" t="s">
        <v>1130</v>
      </c>
    </row>
    <row r="10" customFormat="false" ht="57.75" hidden="false" customHeight="true" outlineLevel="0" collapsed="false">
      <c r="A10" s="42" t="n">
        <v>7</v>
      </c>
      <c r="B10" s="43" t="s">
        <v>597</v>
      </c>
      <c r="C10" s="44" t="s">
        <v>494</v>
      </c>
      <c r="D10" s="44" t="s">
        <v>475</v>
      </c>
      <c r="E10" s="42" t="s">
        <v>495</v>
      </c>
      <c r="F10" s="44" t="s">
        <v>524</v>
      </c>
      <c r="G10" s="17" t="s">
        <v>1131</v>
      </c>
      <c r="H10" s="18" t="s">
        <v>1102</v>
      </c>
      <c r="I10" s="7" t="s">
        <v>1103</v>
      </c>
      <c r="J10" s="17" t="s">
        <v>1132</v>
      </c>
      <c r="K10" s="18" t="s">
        <v>1105</v>
      </c>
      <c r="L10" s="16" t="n">
        <v>3</v>
      </c>
      <c r="M10" s="7" t="s">
        <v>1133</v>
      </c>
      <c r="N10" s="17" t="s">
        <v>1134</v>
      </c>
      <c r="O10" s="18" t="s">
        <v>1135</v>
      </c>
      <c r="P10" s="16" t="n">
        <v>4</v>
      </c>
      <c r="Q10" s="7" t="s">
        <v>1136</v>
      </c>
      <c r="R10" s="17" t="s">
        <v>1137</v>
      </c>
      <c r="S10" s="7" t="s">
        <v>1138</v>
      </c>
    </row>
    <row r="11" customFormat="false" ht="57.75" hidden="false" customHeight="true" outlineLevel="0" collapsed="false">
      <c r="A11" s="42" t="n">
        <v>8</v>
      </c>
      <c r="B11" s="43" t="s">
        <v>602</v>
      </c>
      <c r="C11" s="44" t="s">
        <v>494</v>
      </c>
      <c r="D11" s="44" t="s">
        <v>469</v>
      </c>
      <c r="E11" s="42" t="s">
        <v>495</v>
      </c>
      <c r="F11" s="44" t="s">
        <v>515</v>
      </c>
      <c r="G11" s="17" t="s">
        <v>1139</v>
      </c>
      <c r="H11" s="18" t="s">
        <v>1071</v>
      </c>
      <c r="I11" s="7" t="s">
        <v>1103</v>
      </c>
      <c r="J11" s="17" t="s">
        <v>1140</v>
      </c>
      <c r="K11" s="18" t="s">
        <v>1074</v>
      </c>
      <c r="L11" s="16" t="n">
        <v>2</v>
      </c>
      <c r="M11" s="7" t="s">
        <v>1141</v>
      </c>
      <c r="N11" s="17" t="s">
        <v>1142</v>
      </c>
      <c r="O11" s="18" t="s">
        <v>1143</v>
      </c>
      <c r="P11" s="16" t="n">
        <v>4</v>
      </c>
      <c r="Q11" s="7" t="s">
        <v>1144</v>
      </c>
      <c r="R11" s="17" t="s">
        <v>1145</v>
      </c>
      <c r="S11" s="7" t="s">
        <v>1146</v>
      </c>
    </row>
    <row r="12" customFormat="false" ht="57.75" hidden="false" customHeight="true" outlineLevel="0" collapsed="false">
      <c r="A12" s="42" t="n">
        <v>9</v>
      </c>
      <c r="B12" s="43" t="s">
        <v>606</v>
      </c>
      <c r="C12" s="44" t="s">
        <v>494</v>
      </c>
      <c r="D12" s="44" t="s">
        <v>479</v>
      </c>
      <c r="E12" s="42" t="s">
        <v>495</v>
      </c>
      <c r="F12" s="44" t="s">
        <v>515</v>
      </c>
      <c r="G12" s="17" t="s">
        <v>1147</v>
      </c>
      <c r="H12" s="18" t="s">
        <v>99</v>
      </c>
      <c r="I12" s="7" t="s">
        <v>1148</v>
      </c>
      <c r="J12" s="17" t="s">
        <v>1149</v>
      </c>
      <c r="K12" s="18" t="s">
        <v>1150</v>
      </c>
      <c r="L12" s="16" t="n">
        <v>2</v>
      </c>
      <c r="M12" s="7" t="s">
        <v>1151</v>
      </c>
      <c r="N12" s="17" t="s">
        <v>1152</v>
      </c>
      <c r="O12" s="18" t="s">
        <v>1153</v>
      </c>
      <c r="P12" s="16" t="n">
        <v>4</v>
      </c>
      <c r="Q12" s="7" t="s">
        <v>1154</v>
      </c>
      <c r="R12" s="17" t="s">
        <v>1155</v>
      </c>
      <c r="S12" s="7" t="s">
        <v>1156</v>
      </c>
    </row>
    <row r="13" customFormat="false" ht="57.75" hidden="false" customHeight="true" outlineLevel="0" collapsed="false">
      <c r="A13" s="42" t="n">
        <v>10</v>
      </c>
      <c r="B13" s="43" t="s">
        <v>610</v>
      </c>
      <c r="C13" s="44" t="s">
        <v>494</v>
      </c>
      <c r="D13" s="44" t="s">
        <v>479</v>
      </c>
      <c r="E13" s="42" t="s">
        <v>495</v>
      </c>
      <c r="F13" s="44" t="s">
        <v>524</v>
      </c>
      <c r="G13" s="17" t="s">
        <v>1157</v>
      </c>
      <c r="H13" s="18" t="s">
        <v>99</v>
      </c>
      <c r="I13" s="7" t="s">
        <v>1148</v>
      </c>
      <c r="J13" s="17" t="s">
        <v>1158</v>
      </c>
      <c r="K13" s="18" t="s">
        <v>1150</v>
      </c>
      <c r="L13" s="16" t="n">
        <v>2</v>
      </c>
      <c r="M13" s="7" t="s">
        <v>1159</v>
      </c>
      <c r="N13" s="17" t="s">
        <v>1160</v>
      </c>
      <c r="O13" s="18" t="s">
        <v>1153</v>
      </c>
      <c r="P13" s="16" t="n">
        <v>4</v>
      </c>
      <c r="Q13" s="7" t="s">
        <v>1161</v>
      </c>
      <c r="R13" s="17" t="s">
        <v>1162</v>
      </c>
      <c r="S13" s="7" t="s">
        <v>1163</v>
      </c>
    </row>
    <row r="14" customFormat="false" ht="57.75" hidden="false" customHeight="true" outlineLevel="0" collapsed="false">
      <c r="A14" s="42" t="n">
        <v>11</v>
      </c>
      <c r="B14" s="43" t="s">
        <v>614</v>
      </c>
      <c r="C14" s="44" t="s">
        <v>494</v>
      </c>
      <c r="D14" s="44" t="s">
        <v>469</v>
      </c>
      <c r="E14" s="42" t="s">
        <v>501</v>
      </c>
      <c r="F14" s="44" t="s">
        <v>529</v>
      </c>
      <c r="G14" s="17" t="s">
        <v>1164</v>
      </c>
      <c r="H14" s="18" t="s">
        <v>1071</v>
      </c>
      <c r="I14" s="7" t="s">
        <v>1165</v>
      </c>
      <c r="J14" s="17" t="s">
        <v>1166</v>
      </c>
      <c r="K14" s="18" t="s">
        <v>1071</v>
      </c>
      <c r="L14" s="16" t="n">
        <v>1</v>
      </c>
      <c r="M14" s="7" t="s">
        <v>1167</v>
      </c>
      <c r="N14" s="17" t="s">
        <v>1168</v>
      </c>
      <c r="O14" s="18" t="s">
        <v>1143</v>
      </c>
      <c r="P14" s="16" t="n">
        <v>4</v>
      </c>
      <c r="Q14" s="7" t="s">
        <v>1169</v>
      </c>
      <c r="R14" s="17" t="s">
        <v>1170</v>
      </c>
      <c r="S14" s="7" t="s">
        <v>1171</v>
      </c>
    </row>
    <row r="15" customFormat="false" ht="57.75" hidden="false" customHeight="true" outlineLevel="0" collapsed="false">
      <c r="A15" s="42" t="n">
        <v>12</v>
      </c>
      <c r="B15" s="43" t="s">
        <v>619</v>
      </c>
      <c r="C15" s="44" t="s">
        <v>494</v>
      </c>
      <c r="D15" s="44" t="s">
        <v>477</v>
      </c>
      <c r="E15" s="42" t="s">
        <v>501</v>
      </c>
      <c r="F15" s="44" t="s">
        <v>506</v>
      </c>
      <c r="G15" s="17" t="s">
        <v>1172</v>
      </c>
      <c r="H15" s="18" t="s">
        <v>1113</v>
      </c>
      <c r="I15" s="7" t="s">
        <v>1072</v>
      </c>
      <c r="J15" s="17" t="s">
        <v>620</v>
      </c>
      <c r="K15" s="18" t="s">
        <v>1116</v>
      </c>
      <c r="L15" s="16" t="n">
        <v>2</v>
      </c>
      <c r="M15" s="7" t="s">
        <v>1173</v>
      </c>
      <c r="N15" s="17" t="s">
        <v>1174</v>
      </c>
      <c r="O15" s="18" t="s">
        <v>1119</v>
      </c>
      <c r="P15" s="16" t="n">
        <v>4</v>
      </c>
      <c r="Q15" s="7" t="s">
        <v>1175</v>
      </c>
      <c r="R15" s="17" t="s">
        <v>1176</v>
      </c>
      <c r="S15" s="7" t="s">
        <v>1177</v>
      </c>
    </row>
    <row r="16" customFormat="false" ht="57.75" hidden="false" customHeight="true" outlineLevel="0" collapsed="false">
      <c r="A16" s="42" t="n">
        <v>13</v>
      </c>
      <c r="B16" s="43" t="s">
        <v>623</v>
      </c>
      <c r="C16" s="44" t="s">
        <v>494</v>
      </c>
      <c r="D16" s="44" t="s">
        <v>477</v>
      </c>
      <c r="E16" s="42" t="s">
        <v>501</v>
      </c>
      <c r="F16" s="44" t="s">
        <v>496</v>
      </c>
      <c r="G16" s="17" t="s">
        <v>1178</v>
      </c>
      <c r="H16" s="18" t="s">
        <v>1113</v>
      </c>
      <c r="I16" s="7" t="s">
        <v>1072</v>
      </c>
      <c r="J16" s="17" t="s">
        <v>1179</v>
      </c>
      <c r="K16" s="18" t="s">
        <v>1116</v>
      </c>
      <c r="L16" s="16" t="n">
        <v>1</v>
      </c>
      <c r="M16" s="7" t="s">
        <v>1180</v>
      </c>
      <c r="N16" s="17" t="s">
        <v>1181</v>
      </c>
      <c r="O16" s="18" t="s">
        <v>1119</v>
      </c>
      <c r="P16" s="16" t="n">
        <v>4</v>
      </c>
      <c r="Q16" s="7" t="s">
        <v>1182</v>
      </c>
      <c r="R16" s="17" t="s">
        <v>1183</v>
      </c>
      <c r="S16" s="7" t="s">
        <v>1184</v>
      </c>
    </row>
    <row r="17" customFormat="false" ht="57.75" hidden="false" customHeight="true" outlineLevel="0" collapsed="false">
      <c r="A17" s="42" t="n">
        <v>14</v>
      </c>
      <c r="B17" s="43" t="s">
        <v>627</v>
      </c>
      <c r="C17" s="44" t="s">
        <v>494</v>
      </c>
      <c r="D17" s="44" t="s">
        <v>475</v>
      </c>
      <c r="E17" s="42" t="s">
        <v>501</v>
      </c>
      <c r="F17" s="44" t="s">
        <v>496</v>
      </c>
      <c r="G17" s="17" t="s">
        <v>1185</v>
      </c>
      <c r="H17" s="18" t="s">
        <v>99</v>
      </c>
      <c r="I17" s="7" t="s">
        <v>1103</v>
      </c>
      <c r="J17" s="17" t="s">
        <v>1186</v>
      </c>
      <c r="K17" s="18" t="s">
        <v>1105</v>
      </c>
      <c r="L17" s="16" t="n">
        <v>2</v>
      </c>
      <c r="M17" s="7" t="s">
        <v>1187</v>
      </c>
      <c r="N17" s="17" t="s">
        <v>1188</v>
      </c>
      <c r="O17" s="18" t="s">
        <v>1135</v>
      </c>
      <c r="P17" s="16" t="n">
        <v>4</v>
      </c>
      <c r="Q17" s="7" t="s">
        <v>1189</v>
      </c>
      <c r="R17" s="17" t="s">
        <v>1190</v>
      </c>
      <c r="S17" s="7" t="s">
        <v>1191</v>
      </c>
    </row>
    <row r="18" customFormat="false" ht="57.75" hidden="false" customHeight="true" outlineLevel="0" collapsed="false">
      <c r="A18" s="42" t="n">
        <v>15</v>
      </c>
      <c r="B18" s="43" t="s">
        <v>631</v>
      </c>
      <c r="C18" s="44" t="s">
        <v>494</v>
      </c>
      <c r="D18" s="44" t="s">
        <v>471</v>
      </c>
      <c r="E18" s="42" t="s">
        <v>495</v>
      </c>
      <c r="F18" s="44" t="s">
        <v>515</v>
      </c>
      <c r="G18" s="17" t="s">
        <v>1192</v>
      </c>
      <c r="H18" s="18" t="s">
        <v>99</v>
      </c>
      <c r="I18" s="7" t="s">
        <v>1148</v>
      </c>
      <c r="J18" s="17" t="s">
        <v>1193</v>
      </c>
      <c r="K18" s="18" t="s">
        <v>1084</v>
      </c>
      <c r="L18" s="16" t="n">
        <v>2</v>
      </c>
      <c r="M18" s="7" t="s">
        <v>1194</v>
      </c>
      <c r="N18" s="17" t="s">
        <v>1195</v>
      </c>
      <c r="O18" s="18" t="s">
        <v>1196</v>
      </c>
      <c r="P18" s="16" t="n">
        <v>4</v>
      </c>
      <c r="Q18" s="7" t="s">
        <v>1197</v>
      </c>
      <c r="R18" s="17" t="s">
        <v>1198</v>
      </c>
      <c r="S18" s="7" t="s">
        <v>1199</v>
      </c>
    </row>
    <row r="19" customFormat="false" ht="57.75" hidden="false" customHeight="true" outlineLevel="0" collapsed="false">
      <c r="A19" s="42" t="n">
        <v>16</v>
      </c>
      <c r="B19" s="43" t="s">
        <v>635</v>
      </c>
      <c r="C19" s="44" t="s">
        <v>494</v>
      </c>
      <c r="D19" s="44" t="s">
        <v>471</v>
      </c>
      <c r="E19" s="42" t="s">
        <v>495</v>
      </c>
      <c r="F19" s="44" t="s">
        <v>524</v>
      </c>
      <c r="G19" s="17" t="s">
        <v>1200</v>
      </c>
      <c r="H19" s="18" t="s">
        <v>1082</v>
      </c>
      <c r="I19" s="7" t="s">
        <v>1201</v>
      </c>
      <c r="J19" s="17" t="s">
        <v>1202</v>
      </c>
      <c r="K19" s="18" t="s">
        <v>1084</v>
      </c>
      <c r="L19" s="16" t="n">
        <v>2</v>
      </c>
      <c r="M19" s="7" t="s">
        <v>1203</v>
      </c>
      <c r="N19" s="17" t="s">
        <v>1204</v>
      </c>
      <c r="O19" s="18" t="s">
        <v>1087</v>
      </c>
      <c r="P19" s="16" t="n">
        <v>4</v>
      </c>
      <c r="Q19" s="7" t="s">
        <v>1205</v>
      </c>
      <c r="R19" s="17" t="s">
        <v>1206</v>
      </c>
      <c r="S19" s="7" t="s">
        <v>1207</v>
      </c>
    </row>
    <row r="20" customFormat="false" ht="57.75" hidden="false" customHeight="true" outlineLevel="0" collapsed="false">
      <c r="A20" s="42" t="n">
        <v>17</v>
      </c>
      <c r="B20" s="43" t="s">
        <v>640</v>
      </c>
      <c r="C20" s="44" t="s">
        <v>494</v>
      </c>
      <c r="D20" s="44" t="s">
        <v>471</v>
      </c>
      <c r="E20" s="42" t="s">
        <v>501</v>
      </c>
      <c r="F20" s="44" t="s">
        <v>506</v>
      </c>
      <c r="G20" s="17" t="s">
        <v>1208</v>
      </c>
      <c r="H20" s="18" t="s">
        <v>1082</v>
      </c>
      <c r="I20" s="7" t="s">
        <v>1209</v>
      </c>
      <c r="J20" s="17" t="s">
        <v>1210</v>
      </c>
      <c r="K20" s="18" t="s">
        <v>1084</v>
      </c>
      <c r="L20" s="16" t="n">
        <v>1</v>
      </c>
      <c r="M20" s="7" t="s">
        <v>1211</v>
      </c>
      <c r="N20" s="17" t="s">
        <v>1212</v>
      </c>
      <c r="O20" s="18" t="s">
        <v>1196</v>
      </c>
      <c r="P20" s="16" t="n">
        <v>4</v>
      </c>
      <c r="Q20" s="7" t="s">
        <v>1213</v>
      </c>
      <c r="R20" s="17" t="s">
        <v>1214</v>
      </c>
      <c r="S20" s="7" t="s">
        <v>1215</v>
      </c>
    </row>
    <row r="21" customFormat="false" ht="57.75" hidden="false" customHeight="true" outlineLevel="0" collapsed="false">
      <c r="A21" s="42" t="n">
        <v>18</v>
      </c>
      <c r="B21" s="43" t="s">
        <v>644</v>
      </c>
      <c r="C21" s="44" t="s">
        <v>494</v>
      </c>
      <c r="D21" s="44" t="s">
        <v>471</v>
      </c>
      <c r="E21" s="42" t="s">
        <v>495</v>
      </c>
      <c r="F21" s="44" t="s">
        <v>524</v>
      </c>
      <c r="G21" s="17" t="s">
        <v>1216</v>
      </c>
      <c r="H21" s="18" t="s">
        <v>1082</v>
      </c>
      <c r="I21" s="7" t="s">
        <v>1103</v>
      </c>
      <c r="J21" s="17" t="s">
        <v>1217</v>
      </c>
      <c r="K21" s="18" t="s">
        <v>1084</v>
      </c>
      <c r="L21" s="16" t="n">
        <v>2</v>
      </c>
      <c r="M21" s="7" t="s">
        <v>1218</v>
      </c>
      <c r="N21" s="17" t="s">
        <v>1219</v>
      </c>
      <c r="O21" s="18" t="s">
        <v>1087</v>
      </c>
      <c r="P21" s="16" t="n">
        <v>3</v>
      </c>
      <c r="Q21" s="7" t="s">
        <v>1220</v>
      </c>
      <c r="R21" s="17" t="s">
        <v>1221</v>
      </c>
      <c r="S21" s="7" t="s">
        <v>1222</v>
      </c>
    </row>
    <row r="22" customFormat="false" ht="57.75" hidden="false" customHeight="true" outlineLevel="0" collapsed="false">
      <c r="A22" s="42" t="n">
        <v>19</v>
      </c>
      <c r="B22" s="43" t="s">
        <v>648</v>
      </c>
      <c r="C22" s="44" t="s">
        <v>494</v>
      </c>
      <c r="D22" s="44" t="s">
        <v>473</v>
      </c>
      <c r="E22" s="42" t="s">
        <v>501</v>
      </c>
      <c r="F22" s="44" t="s">
        <v>506</v>
      </c>
      <c r="G22" s="17" t="s">
        <v>1223</v>
      </c>
      <c r="H22" s="18" t="s">
        <v>1092</v>
      </c>
      <c r="I22" s="7" t="s">
        <v>1072</v>
      </c>
      <c r="J22" s="17" t="s">
        <v>1224</v>
      </c>
      <c r="K22" s="18" t="s">
        <v>1094</v>
      </c>
      <c r="L22" s="16" t="n">
        <v>2</v>
      </c>
      <c r="M22" s="7" t="s">
        <v>1225</v>
      </c>
      <c r="N22" s="17" t="s">
        <v>1226</v>
      </c>
      <c r="O22" s="18" t="s">
        <v>1097</v>
      </c>
      <c r="P22" s="16" t="n">
        <v>4</v>
      </c>
      <c r="Q22" s="7" t="s">
        <v>1227</v>
      </c>
      <c r="R22" s="17" t="s">
        <v>1228</v>
      </c>
      <c r="S22" s="7" t="s">
        <v>1229</v>
      </c>
    </row>
    <row r="23" customFormat="false" ht="57.75" hidden="false" customHeight="true" outlineLevel="0" collapsed="false">
      <c r="A23" s="48" t="n">
        <v>20</v>
      </c>
      <c r="B23" s="49" t="s">
        <v>652</v>
      </c>
      <c r="C23" s="50" t="s">
        <v>505</v>
      </c>
      <c r="D23" s="50" t="s">
        <v>471</v>
      </c>
      <c r="E23" s="48" t="s">
        <v>534</v>
      </c>
      <c r="F23" s="50" t="s">
        <v>515</v>
      </c>
      <c r="G23" s="17" t="s">
        <v>1230</v>
      </c>
      <c r="H23" s="18" t="s">
        <v>1082</v>
      </c>
      <c r="I23" s="7" t="s">
        <v>1231</v>
      </c>
      <c r="J23" s="17" t="s">
        <v>1232</v>
      </c>
      <c r="K23" s="18" t="s">
        <v>1084</v>
      </c>
      <c r="L23" s="16" t="n">
        <v>2</v>
      </c>
      <c r="M23" s="7" t="s">
        <v>1233</v>
      </c>
      <c r="N23" s="17" t="s">
        <v>1234</v>
      </c>
      <c r="O23" s="18" t="s">
        <v>1196</v>
      </c>
      <c r="P23" s="16" t="n">
        <v>3</v>
      </c>
      <c r="Q23" s="7" t="s">
        <v>1235</v>
      </c>
      <c r="R23" s="17" t="s">
        <v>1236</v>
      </c>
      <c r="S23" s="7" t="s">
        <v>1237</v>
      </c>
    </row>
    <row r="24" customFormat="false" ht="57.75" hidden="false" customHeight="true" outlineLevel="0" collapsed="false">
      <c r="A24" s="48" t="n">
        <v>21</v>
      </c>
      <c r="B24" s="49" t="s">
        <v>657</v>
      </c>
      <c r="C24" s="50" t="s">
        <v>505</v>
      </c>
      <c r="D24" s="50" t="s">
        <v>469</v>
      </c>
      <c r="E24" s="48" t="s">
        <v>501</v>
      </c>
      <c r="F24" s="50" t="s">
        <v>506</v>
      </c>
      <c r="G24" s="17" t="s">
        <v>1238</v>
      </c>
      <c r="H24" s="18" t="s">
        <v>1071</v>
      </c>
      <c r="I24" s="7" t="s">
        <v>1072</v>
      </c>
      <c r="J24" s="17" t="s">
        <v>1239</v>
      </c>
      <c r="K24" s="18" t="s">
        <v>1074</v>
      </c>
      <c r="L24" s="16" t="n">
        <v>1</v>
      </c>
      <c r="M24" s="7" t="s">
        <v>1240</v>
      </c>
      <c r="N24" s="17" t="s">
        <v>1241</v>
      </c>
      <c r="O24" s="18" t="s">
        <v>1077</v>
      </c>
      <c r="P24" s="16" t="n">
        <v>4</v>
      </c>
      <c r="Q24" s="7" t="s">
        <v>1242</v>
      </c>
      <c r="R24" s="17" t="s">
        <v>1243</v>
      </c>
      <c r="S24" s="7" t="s">
        <v>1244</v>
      </c>
    </row>
    <row r="25" customFormat="false" ht="57.75" hidden="false" customHeight="true" outlineLevel="0" collapsed="false">
      <c r="A25" s="48" t="n">
        <v>22</v>
      </c>
      <c r="B25" s="49" t="s">
        <v>661</v>
      </c>
      <c r="C25" s="50" t="s">
        <v>505</v>
      </c>
      <c r="D25" s="50" t="s">
        <v>471</v>
      </c>
      <c r="E25" s="48" t="s">
        <v>495</v>
      </c>
      <c r="F25" s="50" t="s">
        <v>529</v>
      </c>
      <c r="G25" s="17" t="s">
        <v>1245</v>
      </c>
      <c r="H25" s="18" t="s">
        <v>1082</v>
      </c>
      <c r="I25" s="7" t="s">
        <v>1072</v>
      </c>
      <c r="J25" s="17" t="s">
        <v>1246</v>
      </c>
      <c r="K25" s="18" t="s">
        <v>1082</v>
      </c>
      <c r="L25" s="16" t="n">
        <v>1</v>
      </c>
      <c r="M25" s="7" t="s">
        <v>1247</v>
      </c>
      <c r="N25" s="17" t="s">
        <v>1248</v>
      </c>
      <c r="O25" s="18" t="s">
        <v>1196</v>
      </c>
      <c r="P25" s="16" t="n">
        <v>4</v>
      </c>
      <c r="Q25" s="7" t="s">
        <v>1249</v>
      </c>
      <c r="R25" s="17" t="s">
        <v>1250</v>
      </c>
      <c r="S25" s="7" t="s">
        <v>1251</v>
      </c>
    </row>
    <row r="26" customFormat="false" ht="57.75" hidden="false" customHeight="true" outlineLevel="0" collapsed="false">
      <c r="A26" s="48" t="n">
        <v>23</v>
      </c>
      <c r="B26" s="49" t="s">
        <v>666</v>
      </c>
      <c r="C26" s="50" t="s">
        <v>505</v>
      </c>
      <c r="D26" s="50" t="s">
        <v>471</v>
      </c>
      <c r="E26" s="48" t="s">
        <v>501</v>
      </c>
      <c r="F26" s="50" t="s">
        <v>496</v>
      </c>
      <c r="G26" s="17" t="s">
        <v>1252</v>
      </c>
      <c r="H26" s="18" t="s">
        <v>1082</v>
      </c>
      <c r="I26" s="7" t="s">
        <v>1072</v>
      </c>
      <c r="J26" s="17" t="s">
        <v>1253</v>
      </c>
      <c r="K26" s="18" t="s">
        <v>1084</v>
      </c>
      <c r="L26" s="16" t="n">
        <v>1</v>
      </c>
      <c r="M26" s="7" t="s">
        <v>1187</v>
      </c>
      <c r="N26" s="17" t="s">
        <v>667</v>
      </c>
      <c r="O26" s="18" t="s">
        <v>1087</v>
      </c>
      <c r="P26" s="16" t="n">
        <v>4</v>
      </c>
      <c r="Q26" s="7" t="s">
        <v>1254</v>
      </c>
      <c r="R26" s="17" t="s">
        <v>1255</v>
      </c>
      <c r="S26" s="7" t="s">
        <v>1256</v>
      </c>
    </row>
    <row r="27" customFormat="false" ht="57.75" hidden="false" customHeight="true" outlineLevel="0" collapsed="false">
      <c r="A27" s="48" t="n">
        <v>24</v>
      </c>
      <c r="B27" s="49" t="s">
        <v>670</v>
      </c>
      <c r="C27" s="50" t="s">
        <v>505</v>
      </c>
      <c r="D27" s="50" t="s">
        <v>471</v>
      </c>
      <c r="E27" s="48" t="s">
        <v>495</v>
      </c>
      <c r="F27" s="50" t="s">
        <v>524</v>
      </c>
      <c r="G27" s="17" t="s">
        <v>1257</v>
      </c>
      <c r="H27" s="18" t="s">
        <v>1082</v>
      </c>
      <c r="I27" s="7" t="s">
        <v>1258</v>
      </c>
      <c r="J27" s="17" t="s">
        <v>1259</v>
      </c>
      <c r="K27" s="18" t="s">
        <v>1084</v>
      </c>
      <c r="L27" s="16" t="n">
        <v>2</v>
      </c>
      <c r="M27" s="7" t="s">
        <v>1260</v>
      </c>
      <c r="N27" s="17" t="s">
        <v>1261</v>
      </c>
      <c r="O27" s="18" t="s">
        <v>1087</v>
      </c>
      <c r="P27" s="16" t="n">
        <v>4</v>
      </c>
      <c r="Q27" s="7" t="s">
        <v>1262</v>
      </c>
      <c r="R27" s="17" t="s">
        <v>1263</v>
      </c>
      <c r="S27" s="7" t="s">
        <v>1264</v>
      </c>
    </row>
    <row r="28" customFormat="false" ht="57.75" hidden="false" customHeight="true" outlineLevel="0" collapsed="false">
      <c r="A28" s="48" t="n">
        <v>25</v>
      </c>
      <c r="B28" s="49" t="s">
        <v>674</v>
      </c>
      <c r="C28" s="50" t="s">
        <v>505</v>
      </c>
      <c r="D28" s="50" t="s">
        <v>475</v>
      </c>
      <c r="E28" s="48" t="s">
        <v>501</v>
      </c>
      <c r="F28" s="50" t="s">
        <v>506</v>
      </c>
      <c r="G28" s="17" t="s">
        <v>1265</v>
      </c>
      <c r="H28" s="18" t="s">
        <v>1102</v>
      </c>
      <c r="I28" s="7" t="s">
        <v>1072</v>
      </c>
      <c r="J28" s="17" t="s">
        <v>1266</v>
      </c>
      <c r="K28" s="18" t="s">
        <v>1105</v>
      </c>
      <c r="L28" s="16" t="n">
        <v>2</v>
      </c>
      <c r="M28" s="7" t="s">
        <v>1267</v>
      </c>
      <c r="N28" s="17" t="s">
        <v>1268</v>
      </c>
      <c r="O28" s="18" t="s">
        <v>1135</v>
      </c>
      <c r="P28" s="16" t="n">
        <v>4</v>
      </c>
      <c r="Q28" s="7" t="s">
        <v>1269</v>
      </c>
      <c r="R28" s="17" t="s">
        <v>1270</v>
      </c>
      <c r="S28" s="7" t="s">
        <v>1271</v>
      </c>
    </row>
    <row r="29" customFormat="false" ht="57.75" hidden="false" customHeight="true" outlineLevel="0" collapsed="false">
      <c r="A29" s="48" t="n">
        <v>26</v>
      </c>
      <c r="B29" s="49" t="s">
        <v>678</v>
      </c>
      <c r="C29" s="50" t="s">
        <v>505</v>
      </c>
      <c r="D29" s="50" t="s">
        <v>475</v>
      </c>
      <c r="E29" s="48" t="s">
        <v>534</v>
      </c>
      <c r="F29" s="50" t="s">
        <v>515</v>
      </c>
      <c r="G29" s="17" t="s">
        <v>1272</v>
      </c>
      <c r="H29" s="18" t="s">
        <v>99</v>
      </c>
      <c r="I29" s="7" t="s">
        <v>1103</v>
      </c>
      <c r="J29" s="17" t="s">
        <v>1273</v>
      </c>
      <c r="K29" s="18" t="s">
        <v>1105</v>
      </c>
      <c r="L29" s="16" t="n">
        <v>2</v>
      </c>
      <c r="M29" s="7" t="s">
        <v>1274</v>
      </c>
      <c r="N29" s="17" t="s">
        <v>1275</v>
      </c>
      <c r="O29" s="18" t="s">
        <v>1108</v>
      </c>
      <c r="P29" s="16" t="n">
        <v>4</v>
      </c>
      <c r="Q29" s="7" t="s">
        <v>1276</v>
      </c>
      <c r="R29" s="17" t="s">
        <v>1277</v>
      </c>
      <c r="S29" s="7" t="s">
        <v>1278</v>
      </c>
    </row>
    <row r="30" customFormat="false" ht="57.75" hidden="false" customHeight="true" outlineLevel="0" collapsed="false">
      <c r="A30" s="48" t="n">
        <v>27</v>
      </c>
      <c r="B30" s="49" t="s">
        <v>504</v>
      </c>
      <c r="C30" s="50" t="s">
        <v>505</v>
      </c>
      <c r="D30" s="50" t="s">
        <v>475</v>
      </c>
      <c r="E30" s="48" t="s">
        <v>501</v>
      </c>
      <c r="F30" s="50" t="s">
        <v>506</v>
      </c>
      <c r="G30" s="17" t="s">
        <v>1279</v>
      </c>
      <c r="H30" s="18" t="s">
        <v>99</v>
      </c>
      <c r="I30" s="7" t="s">
        <v>1103</v>
      </c>
      <c r="J30" s="17" t="s">
        <v>1280</v>
      </c>
      <c r="K30" s="18" t="s">
        <v>1105</v>
      </c>
      <c r="L30" s="16" t="n">
        <v>1</v>
      </c>
      <c r="M30" s="7" t="s">
        <v>1281</v>
      </c>
      <c r="N30" s="17" t="s">
        <v>1282</v>
      </c>
      <c r="O30" s="18" t="s">
        <v>1135</v>
      </c>
      <c r="P30" s="16" t="n">
        <v>4</v>
      </c>
      <c r="Q30" s="7" t="s">
        <v>1283</v>
      </c>
      <c r="R30" s="17" t="s">
        <v>1284</v>
      </c>
      <c r="S30" s="7" t="s">
        <v>1285</v>
      </c>
    </row>
    <row r="31" customFormat="false" ht="57.75" hidden="false" customHeight="true" outlineLevel="0" collapsed="false">
      <c r="A31" s="48" t="n">
        <v>28</v>
      </c>
      <c r="B31" s="49" t="s">
        <v>682</v>
      </c>
      <c r="C31" s="50" t="s">
        <v>505</v>
      </c>
      <c r="D31" s="50" t="s">
        <v>475</v>
      </c>
      <c r="E31" s="48" t="s">
        <v>495</v>
      </c>
      <c r="F31" s="50" t="s">
        <v>506</v>
      </c>
      <c r="G31" s="17" t="s">
        <v>1286</v>
      </c>
      <c r="H31" s="18" t="s">
        <v>1102</v>
      </c>
      <c r="I31" s="7" t="s">
        <v>1103</v>
      </c>
      <c r="J31" s="17" t="s">
        <v>1287</v>
      </c>
      <c r="K31" s="18" t="s">
        <v>1105</v>
      </c>
      <c r="L31" s="16" t="n">
        <v>2</v>
      </c>
      <c r="M31" s="7" t="s">
        <v>1288</v>
      </c>
      <c r="N31" s="17" t="s">
        <v>1289</v>
      </c>
      <c r="O31" s="18" t="s">
        <v>1135</v>
      </c>
      <c r="P31" s="16" t="n">
        <v>4</v>
      </c>
      <c r="Q31" s="7" t="s">
        <v>1290</v>
      </c>
      <c r="R31" s="17" t="s">
        <v>1291</v>
      </c>
      <c r="S31" s="7" t="s">
        <v>1292</v>
      </c>
    </row>
    <row r="32" customFormat="false" ht="57.75" hidden="false" customHeight="true" outlineLevel="0" collapsed="false">
      <c r="A32" s="48" t="n">
        <v>29</v>
      </c>
      <c r="B32" s="49" t="s">
        <v>686</v>
      </c>
      <c r="C32" s="50" t="s">
        <v>505</v>
      </c>
      <c r="D32" s="50" t="s">
        <v>475</v>
      </c>
      <c r="E32" s="48" t="s">
        <v>495</v>
      </c>
      <c r="F32" s="50" t="s">
        <v>515</v>
      </c>
      <c r="G32" s="17" t="s">
        <v>1293</v>
      </c>
      <c r="H32" s="18" t="s">
        <v>99</v>
      </c>
      <c r="I32" s="7" t="s">
        <v>1148</v>
      </c>
      <c r="J32" s="17" t="s">
        <v>1294</v>
      </c>
      <c r="K32" s="18" t="s">
        <v>1102</v>
      </c>
      <c r="L32" s="16" t="n">
        <v>1</v>
      </c>
      <c r="M32" s="7" t="s">
        <v>1295</v>
      </c>
      <c r="N32" s="17" t="s">
        <v>1296</v>
      </c>
      <c r="O32" s="18" t="s">
        <v>1135</v>
      </c>
      <c r="P32" s="16" t="n">
        <v>4</v>
      </c>
      <c r="Q32" s="7" t="s">
        <v>1297</v>
      </c>
      <c r="R32" s="17" t="s">
        <v>1298</v>
      </c>
      <c r="S32" s="7" t="s">
        <v>1299</v>
      </c>
    </row>
    <row r="33" customFormat="false" ht="57.75" hidden="false" customHeight="true" outlineLevel="0" collapsed="false">
      <c r="A33" s="48" t="n">
        <v>30</v>
      </c>
      <c r="B33" s="49" t="s">
        <v>690</v>
      </c>
      <c r="C33" s="50" t="s">
        <v>505</v>
      </c>
      <c r="D33" s="50" t="s">
        <v>471</v>
      </c>
      <c r="E33" s="48" t="s">
        <v>495</v>
      </c>
      <c r="F33" s="50" t="s">
        <v>515</v>
      </c>
      <c r="G33" s="17" t="s">
        <v>1300</v>
      </c>
      <c r="H33" s="18" t="s">
        <v>99</v>
      </c>
      <c r="I33" s="7" t="s">
        <v>1148</v>
      </c>
      <c r="J33" s="17" t="s">
        <v>1301</v>
      </c>
      <c r="K33" s="18" t="s">
        <v>1084</v>
      </c>
      <c r="L33" s="16" t="n">
        <v>2</v>
      </c>
      <c r="M33" s="7" t="s">
        <v>1302</v>
      </c>
      <c r="N33" s="17" t="s">
        <v>1303</v>
      </c>
      <c r="O33" s="18" t="s">
        <v>1196</v>
      </c>
      <c r="P33" s="16" t="n">
        <v>4</v>
      </c>
      <c r="Q33" s="7" t="s">
        <v>1304</v>
      </c>
      <c r="R33" s="17" t="s">
        <v>1305</v>
      </c>
      <c r="S33" s="7" t="s">
        <v>1306</v>
      </c>
    </row>
    <row r="34" customFormat="false" ht="57.75" hidden="false" customHeight="true" outlineLevel="0" collapsed="false">
      <c r="A34" s="48" t="n">
        <v>31</v>
      </c>
      <c r="B34" s="49" t="s">
        <v>695</v>
      </c>
      <c r="C34" s="50" t="s">
        <v>505</v>
      </c>
      <c r="D34" s="50" t="s">
        <v>473</v>
      </c>
      <c r="E34" s="48" t="s">
        <v>501</v>
      </c>
      <c r="F34" s="50" t="s">
        <v>506</v>
      </c>
      <c r="G34" s="17" t="s">
        <v>1307</v>
      </c>
      <c r="H34" s="18" t="s">
        <v>1092</v>
      </c>
      <c r="I34" s="7" t="s">
        <v>1103</v>
      </c>
      <c r="J34" s="17" t="s">
        <v>1308</v>
      </c>
      <c r="K34" s="18" t="s">
        <v>1094</v>
      </c>
      <c r="L34" s="16" t="n">
        <v>3</v>
      </c>
      <c r="M34" s="7" t="s">
        <v>1309</v>
      </c>
      <c r="N34" s="17" t="s">
        <v>1310</v>
      </c>
      <c r="O34" s="18" t="s">
        <v>1097</v>
      </c>
      <c r="P34" s="16" t="n">
        <v>4</v>
      </c>
      <c r="Q34" s="7" t="s">
        <v>1311</v>
      </c>
      <c r="R34" s="17" t="s">
        <v>696</v>
      </c>
      <c r="S34" s="7" t="s">
        <v>1312</v>
      </c>
    </row>
    <row r="35" customFormat="false" ht="57.75" hidden="false" customHeight="true" outlineLevel="0" collapsed="false">
      <c r="A35" s="48" t="n">
        <v>32</v>
      </c>
      <c r="B35" s="49" t="s">
        <v>699</v>
      </c>
      <c r="C35" s="50" t="s">
        <v>505</v>
      </c>
      <c r="D35" s="50" t="s">
        <v>473</v>
      </c>
      <c r="E35" s="48" t="s">
        <v>495</v>
      </c>
      <c r="F35" s="50" t="s">
        <v>496</v>
      </c>
      <c r="G35" s="17" t="s">
        <v>1313</v>
      </c>
      <c r="H35" s="18" t="s">
        <v>1092</v>
      </c>
      <c r="I35" s="7" t="s">
        <v>1314</v>
      </c>
      <c r="J35" s="17" t="s">
        <v>1315</v>
      </c>
      <c r="K35" s="18" t="s">
        <v>1094</v>
      </c>
      <c r="L35" s="16" t="n">
        <v>3</v>
      </c>
      <c r="M35" s="7" t="s">
        <v>1316</v>
      </c>
      <c r="N35" s="17" t="s">
        <v>1317</v>
      </c>
      <c r="O35" s="18" t="s">
        <v>1097</v>
      </c>
      <c r="P35" s="16" t="n">
        <v>4</v>
      </c>
      <c r="Q35" s="7" t="s">
        <v>1318</v>
      </c>
      <c r="R35" s="17" t="s">
        <v>1319</v>
      </c>
      <c r="S35" s="7" t="s">
        <v>1320</v>
      </c>
    </row>
    <row r="36" customFormat="false" ht="57.75" hidden="false" customHeight="true" outlineLevel="0" collapsed="false">
      <c r="A36" s="12" t="n">
        <v>33</v>
      </c>
      <c r="B36" s="13" t="s">
        <v>703</v>
      </c>
      <c r="C36" s="14" t="s">
        <v>510</v>
      </c>
      <c r="D36" s="14" t="s">
        <v>475</v>
      </c>
      <c r="E36" s="12" t="s">
        <v>495</v>
      </c>
      <c r="F36" s="14" t="s">
        <v>496</v>
      </c>
      <c r="G36" s="17" t="s">
        <v>1321</v>
      </c>
      <c r="H36" s="18" t="s">
        <v>1102</v>
      </c>
      <c r="I36" s="7" t="s">
        <v>1322</v>
      </c>
      <c r="J36" s="17" t="s">
        <v>1323</v>
      </c>
      <c r="K36" s="18" t="s">
        <v>1105</v>
      </c>
      <c r="L36" s="16" t="n">
        <v>2</v>
      </c>
      <c r="M36" s="7" t="s">
        <v>1324</v>
      </c>
      <c r="N36" s="17" t="s">
        <v>1325</v>
      </c>
      <c r="O36" s="18" t="s">
        <v>1108</v>
      </c>
      <c r="P36" s="16" t="n">
        <v>4</v>
      </c>
      <c r="Q36" s="7" t="s">
        <v>1326</v>
      </c>
      <c r="R36" s="17" t="s">
        <v>1327</v>
      </c>
      <c r="S36" s="7" t="s">
        <v>1328</v>
      </c>
    </row>
    <row r="37" customFormat="false" ht="57.75" hidden="false" customHeight="true" outlineLevel="0" collapsed="false">
      <c r="A37" s="12" t="n">
        <v>34</v>
      </c>
      <c r="B37" s="13" t="s">
        <v>707</v>
      </c>
      <c r="C37" s="14" t="s">
        <v>510</v>
      </c>
      <c r="D37" s="14" t="s">
        <v>471</v>
      </c>
      <c r="E37" s="12" t="s">
        <v>495</v>
      </c>
      <c r="F37" s="14" t="s">
        <v>515</v>
      </c>
      <c r="G37" s="17" t="s">
        <v>1329</v>
      </c>
      <c r="H37" s="18" t="s">
        <v>99</v>
      </c>
      <c r="I37" s="7" t="s">
        <v>1103</v>
      </c>
      <c r="J37" s="17" t="s">
        <v>1330</v>
      </c>
      <c r="K37" s="18" t="s">
        <v>1084</v>
      </c>
      <c r="L37" s="16" t="n">
        <v>2</v>
      </c>
      <c r="M37" s="7" t="s">
        <v>1331</v>
      </c>
      <c r="N37" s="17" t="s">
        <v>1332</v>
      </c>
      <c r="O37" s="18" t="s">
        <v>1087</v>
      </c>
      <c r="P37" s="16" t="n">
        <v>4</v>
      </c>
      <c r="Q37" s="7" t="s">
        <v>1333</v>
      </c>
      <c r="R37" s="17" t="s">
        <v>1334</v>
      </c>
      <c r="S37" s="7" t="s">
        <v>1335</v>
      </c>
    </row>
    <row r="38" customFormat="false" ht="57.75" hidden="false" customHeight="true" outlineLevel="0" collapsed="false">
      <c r="A38" s="12" t="n">
        <v>35</v>
      </c>
      <c r="B38" s="13" t="s">
        <v>712</v>
      </c>
      <c r="C38" s="14" t="s">
        <v>510</v>
      </c>
      <c r="D38" s="14" t="s">
        <v>475</v>
      </c>
      <c r="E38" s="12" t="s">
        <v>495</v>
      </c>
      <c r="F38" s="14" t="s">
        <v>515</v>
      </c>
      <c r="G38" s="17" t="s">
        <v>1336</v>
      </c>
      <c r="H38" s="18" t="s">
        <v>99</v>
      </c>
      <c r="I38" s="7" t="s">
        <v>1103</v>
      </c>
      <c r="J38" s="17" t="s">
        <v>1337</v>
      </c>
      <c r="K38" s="18" t="s">
        <v>1105</v>
      </c>
      <c r="L38" s="16" t="n">
        <v>2</v>
      </c>
      <c r="M38" s="7" t="s">
        <v>1338</v>
      </c>
      <c r="N38" s="17" t="s">
        <v>1339</v>
      </c>
      <c r="O38" s="18" t="s">
        <v>1340</v>
      </c>
      <c r="P38" s="16" t="n">
        <v>5</v>
      </c>
      <c r="Q38" s="7" t="s">
        <v>1341</v>
      </c>
      <c r="R38" s="17" t="s">
        <v>1342</v>
      </c>
      <c r="S38" s="7" t="s">
        <v>1343</v>
      </c>
    </row>
    <row r="39" customFormat="false" ht="57.75" hidden="false" customHeight="true" outlineLevel="0" collapsed="false">
      <c r="A39" s="12" t="n">
        <v>36</v>
      </c>
      <c r="B39" s="13" t="s">
        <v>717</v>
      </c>
      <c r="C39" s="14" t="s">
        <v>510</v>
      </c>
      <c r="D39" s="14" t="s">
        <v>469</v>
      </c>
      <c r="E39" s="12" t="s">
        <v>501</v>
      </c>
      <c r="F39" s="14" t="s">
        <v>496</v>
      </c>
      <c r="G39" s="17" t="s">
        <v>1344</v>
      </c>
      <c r="H39" s="18" t="s">
        <v>1071</v>
      </c>
      <c r="I39" s="7" t="s">
        <v>1345</v>
      </c>
      <c r="J39" s="17" t="s">
        <v>1346</v>
      </c>
      <c r="K39" s="18" t="s">
        <v>1074</v>
      </c>
      <c r="L39" s="16" t="n">
        <v>2</v>
      </c>
      <c r="M39" s="7" t="s">
        <v>1347</v>
      </c>
      <c r="N39" s="17" t="s">
        <v>1348</v>
      </c>
      <c r="O39" s="18" t="s">
        <v>1077</v>
      </c>
      <c r="P39" s="16" t="n">
        <v>4</v>
      </c>
      <c r="Q39" s="7" t="s">
        <v>1349</v>
      </c>
      <c r="R39" s="17" t="s">
        <v>1350</v>
      </c>
      <c r="S39" s="7" t="s">
        <v>1351</v>
      </c>
    </row>
    <row r="40" customFormat="false" ht="57.75" hidden="false" customHeight="true" outlineLevel="0" collapsed="false">
      <c r="A40" s="12" t="n">
        <v>37</v>
      </c>
      <c r="B40" s="13" t="s">
        <v>721</v>
      </c>
      <c r="C40" s="14" t="s">
        <v>510</v>
      </c>
      <c r="D40" s="14" t="s">
        <v>471</v>
      </c>
      <c r="E40" s="12" t="s">
        <v>495</v>
      </c>
      <c r="F40" s="14" t="s">
        <v>524</v>
      </c>
      <c r="G40" s="17" t="s">
        <v>1352</v>
      </c>
      <c r="H40" s="18" t="s">
        <v>1082</v>
      </c>
      <c r="I40" s="7" t="s">
        <v>1353</v>
      </c>
      <c r="J40" s="17" t="s">
        <v>1354</v>
      </c>
      <c r="K40" s="18" t="s">
        <v>1084</v>
      </c>
      <c r="L40" s="16" t="n">
        <v>2</v>
      </c>
      <c r="M40" s="7" t="s">
        <v>1355</v>
      </c>
      <c r="N40" s="17" t="s">
        <v>1356</v>
      </c>
      <c r="O40" s="18" t="s">
        <v>1087</v>
      </c>
      <c r="P40" s="16" t="n">
        <v>4</v>
      </c>
      <c r="Q40" s="7" t="s">
        <v>1357</v>
      </c>
      <c r="R40" s="17" t="s">
        <v>1358</v>
      </c>
      <c r="S40" s="7" t="s">
        <v>1359</v>
      </c>
    </row>
    <row r="41" customFormat="false" ht="57.75" hidden="false" customHeight="true" outlineLevel="0" collapsed="false">
      <c r="A41" s="12" t="n">
        <v>38</v>
      </c>
      <c r="B41" s="13" t="s">
        <v>726</v>
      </c>
      <c r="C41" s="14" t="s">
        <v>510</v>
      </c>
      <c r="D41" s="14" t="s">
        <v>475</v>
      </c>
      <c r="E41" s="12" t="s">
        <v>501</v>
      </c>
      <c r="F41" s="14" t="s">
        <v>506</v>
      </c>
      <c r="G41" s="17" t="s">
        <v>1360</v>
      </c>
      <c r="H41" s="18" t="s">
        <v>1102</v>
      </c>
      <c r="I41" s="7" t="s">
        <v>1361</v>
      </c>
      <c r="J41" s="17" t="s">
        <v>1362</v>
      </c>
      <c r="K41" s="18" t="s">
        <v>1105</v>
      </c>
      <c r="L41" s="16" t="n">
        <v>2</v>
      </c>
      <c r="M41" s="7" t="s">
        <v>1363</v>
      </c>
      <c r="N41" s="17" t="s">
        <v>727</v>
      </c>
      <c r="O41" s="18" t="s">
        <v>1135</v>
      </c>
      <c r="P41" s="16" t="n">
        <v>4</v>
      </c>
      <c r="Q41" s="7" t="s">
        <v>1364</v>
      </c>
      <c r="R41" s="17" t="s">
        <v>1365</v>
      </c>
      <c r="S41" s="7" t="s">
        <v>1366</v>
      </c>
    </row>
    <row r="42" customFormat="false" ht="57.75" hidden="false" customHeight="true" outlineLevel="0" collapsed="false">
      <c r="A42" s="12" t="n">
        <v>39</v>
      </c>
      <c r="B42" s="13" t="s">
        <v>509</v>
      </c>
      <c r="C42" s="14" t="s">
        <v>510</v>
      </c>
      <c r="D42" s="14" t="s">
        <v>473</v>
      </c>
      <c r="E42" s="12" t="s">
        <v>501</v>
      </c>
      <c r="F42" s="14" t="s">
        <v>506</v>
      </c>
      <c r="G42" s="17" t="s">
        <v>1367</v>
      </c>
      <c r="H42" s="18" t="s">
        <v>1092</v>
      </c>
      <c r="I42" s="7" t="s">
        <v>1072</v>
      </c>
      <c r="J42" s="17" t="s">
        <v>1368</v>
      </c>
      <c r="K42" s="18" t="s">
        <v>1094</v>
      </c>
      <c r="L42" s="16" t="n">
        <v>3</v>
      </c>
      <c r="M42" s="7" t="s">
        <v>1369</v>
      </c>
      <c r="N42" s="17" t="s">
        <v>1370</v>
      </c>
      <c r="O42" s="18" t="s">
        <v>1097</v>
      </c>
      <c r="P42" s="16" t="n">
        <v>4</v>
      </c>
      <c r="Q42" s="7" t="s">
        <v>1371</v>
      </c>
      <c r="R42" s="17" t="s">
        <v>1372</v>
      </c>
      <c r="S42" s="7" t="s">
        <v>1373</v>
      </c>
    </row>
    <row r="43" customFormat="false" ht="57.75" hidden="false" customHeight="true" outlineLevel="0" collapsed="false">
      <c r="A43" s="12" t="n">
        <v>40</v>
      </c>
      <c r="B43" s="13" t="s">
        <v>730</v>
      </c>
      <c r="C43" s="14" t="s">
        <v>510</v>
      </c>
      <c r="D43" s="14" t="s">
        <v>471</v>
      </c>
      <c r="E43" s="12" t="s">
        <v>501</v>
      </c>
      <c r="F43" s="14" t="s">
        <v>496</v>
      </c>
      <c r="G43" s="17" t="s">
        <v>1374</v>
      </c>
      <c r="H43" s="18" t="s">
        <v>1082</v>
      </c>
      <c r="I43" s="7" t="s">
        <v>1072</v>
      </c>
      <c r="J43" s="17" t="s">
        <v>1375</v>
      </c>
      <c r="K43" s="18" t="s">
        <v>1084</v>
      </c>
      <c r="L43" s="16" t="n">
        <v>1</v>
      </c>
      <c r="M43" s="7" t="s">
        <v>1376</v>
      </c>
      <c r="N43" s="17" t="s">
        <v>731</v>
      </c>
      <c r="O43" s="18" t="s">
        <v>1087</v>
      </c>
      <c r="P43" s="16" t="n">
        <v>4</v>
      </c>
      <c r="Q43" s="7" t="s">
        <v>1377</v>
      </c>
      <c r="R43" s="17" t="s">
        <v>1378</v>
      </c>
      <c r="S43" s="7" t="s">
        <v>1379</v>
      </c>
    </row>
    <row r="44" customFormat="false" ht="57.75" hidden="false" customHeight="true" outlineLevel="0" collapsed="false">
      <c r="A44" s="12" t="n">
        <v>41</v>
      </c>
      <c r="B44" s="13" t="s">
        <v>734</v>
      </c>
      <c r="C44" s="14" t="s">
        <v>510</v>
      </c>
      <c r="D44" s="14" t="s">
        <v>477</v>
      </c>
      <c r="E44" s="12" t="s">
        <v>495</v>
      </c>
      <c r="F44" s="14" t="s">
        <v>515</v>
      </c>
      <c r="G44" s="17" t="s">
        <v>1380</v>
      </c>
      <c r="H44" s="18" t="s">
        <v>99</v>
      </c>
      <c r="I44" s="7" t="s">
        <v>1148</v>
      </c>
      <c r="J44" s="17" t="s">
        <v>1381</v>
      </c>
      <c r="K44" s="18" t="s">
        <v>1116</v>
      </c>
      <c r="L44" s="16" t="n">
        <v>2</v>
      </c>
      <c r="M44" s="7" t="s">
        <v>1382</v>
      </c>
      <c r="N44" s="17" t="s">
        <v>1383</v>
      </c>
      <c r="O44" s="18" t="s">
        <v>1119</v>
      </c>
      <c r="P44" s="16" t="n">
        <v>4</v>
      </c>
      <c r="Q44" s="7" t="s">
        <v>1384</v>
      </c>
      <c r="R44" s="17" t="s">
        <v>1385</v>
      </c>
      <c r="S44" s="7" t="s">
        <v>1386</v>
      </c>
    </row>
    <row r="45" customFormat="false" ht="57.75" hidden="false" customHeight="true" outlineLevel="0" collapsed="false">
      <c r="A45" s="12" t="n">
        <v>42</v>
      </c>
      <c r="B45" s="13" t="s">
        <v>738</v>
      </c>
      <c r="C45" s="14" t="s">
        <v>510</v>
      </c>
      <c r="D45" s="14" t="s">
        <v>479</v>
      </c>
      <c r="E45" s="12" t="s">
        <v>495</v>
      </c>
      <c r="F45" s="14" t="s">
        <v>529</v>
      </c>
      <c r="G45" s="17" t="s">
        <v>1387</v>
      </c>
      <c r="H45" s="18" t="s">
        <v>1388</v>
      </c>
      <c r="I45" s="7" t="s">
        <v>1103</v>
      </c>
      <c r="J45" s="17" t="s">
        <v>1389</v>
      </c>
      <c r="K45" s="18" t="s">
        <v>1150</v>
      </c>
      <c r="L45" s="16" t="n">
        <v>3</v>
      </c>
      <c r="M45" s="7" t="s">
        <v>1390</v>
      </c>
      <c r="N45" s="17" t="s">
        <v>1391</v>
      </c>
      <c r="O45" s="18" t="s">
        <v>1392</v>
      </c>
      <c r="P45" s="16" t="n">
        <v>4</v>
      </c>
      <c r="Q45" s="7" t="s">
        <v>1393</v>
      </c>
      <c r="R45" s="17" t="s">
        <v>1394</v>
      </c>
      <c r="S45" s="7" t="s">
        <v>1395</v>
      </c>
    </row>
    <row r="46" customFormat="false" ht="57.75" hidden="false" customHeight="true" outlineLevel="0" collapsed="false">
      <c r="A46" s="12" t="n">
        <v>43</v>
      </c>
      <c r="B46" s="13" t="s">
        <v>742</v>
      </c>
      <c r="C46" s="14" t="s">
        <v>510</v>
      </c>
      <c r="D46" s="14" t="s">
        <v>471</v>
      </c>
      <c r="E46" s="12" t="s">
        <v>495</v>
      </c>
      <c r="F46" s="14" t="s">
        <v>529</v>
      </c>
      <c r="G46" s="17" t="s">
        <v>1396</v>
      </c>
      <c r="H46" s="18" t="s">
        <v>1082</v>
      </c>
      <c r="I46" s="7" t="s">
        <v>1103</v>
      </c>
      <c r="J46" s="17" t="s">
        <v>1397</v>
      </c>
      <c r="K46" s="18" t="s">
        <v>1084</v>
      </c>
      <c r="L46" s="16" t="n">
        <v>2</v>
      </c>
      <c r="M46" s="7" t="s">
        <v>1398</v>
      </c>
      <c r="N46" s="17" t="s">
        <v>1399</v>
      </c>
      <c r="O46" s="18" t="s">
        <v>1196</v>
      </c>
      <c r="P46" s="16" t="n">
        <v>4</v>
      </c>
      <c r="Q46" s="7" t="s">
        <v>1400</v>
      </c>
      <c r="R46" s="17" t="s">
        <v>1401</v>
      </c>
      <c r="S46" s="7" t="s">
        <v>1402</v>
      </c>
    </row>
    <row r="47" customFormat="false" ht="57.75" hidden="false" customHeight="true" outlineLevel="0" collapsed="false">
      <c r="A47" s="12" t="n">
        <v>44</v>
      </c>
      <c r="B47" s="13" t="s">
        <v>746</v>
      </c>
      <c r="C47" s="14" t="s">
        <v>510</v>
      </c>
      <c r="D47" s="14" t="s">
        <v>471</v>
      </c>
      <c r="E47" s="12" t="s">
        <v>501</v>
      </c>
      <c r="F47" s="14" t="s">
        <v>496</v>
      </c>
      <c r="G47" s="17" t="s">
        <v>1403</v>
      </c>
      <c r="H47" s="18" t="s">
        <v>1082</v>
      </c>
      <c r="I47" s="7" t="s">
        <v>1072</v>
      </c>
      <c r="J47" s="17" t="s">
        <v>1404</v>
      </c>
      <c r="K47" s="18" t="s">
        <v>1084</v>
      </c>
      <c r="L47" s="16" t="n">
        <v>2</v>
      </c>
      <c r="M47" s="7" t="s">
        <v>1405</v>
      </c>
      <c r="N47" s="17" t="s">
        <v>1406</v>
      </c>
      <c r="O47" s="18" t="s">
        <v>1087</v>
      </c>
      <c r="P47" s="16" t="n">
        <v>3</v>
      </c>
      <c r="Q47" s="7" t="s">
        <v>1407</v>
      </c>
      <c r="R47" s="17" t="s">
        <v>1408</v>
      </c>
      <c r="S47" s="7" t="s">
        <v>1409</v>
      </c>
    </row>
    <row r="48" customFormat="false" ht="57.75" hidden="false" customHeight="true" outlineLevel="0" collapsed="false">
      <c r="A48" s="12" t="n">
        <v>45</v>
      </c>
      <c r="B48" s="13" t="s">
        <v>750</v>
      </c>
      <c r="C48" s="14" t="s">
        <v>510</v>
      </c>
      <c r="D48" s="14" t="s">
        <v>479</v>
      </c>
      <c r="E48" s="12" t="s">
        <v>495</v>
      </c>
      <c r="F48" s="14" t="s">
        <v>515</v>
      </c>
      <c r="G48" s="17" t="s">
        <v>1410</v>
      </c>
      <c r="H48" s="18" t="s">
        <v>99</v>
      </c>
      <c r="I48" s="7" t="s">
        <v>1148</v>
      </c>
      <c r="J48" s="17" t="s">
        <v>1411</v>
      </c>
      <c r="K48" s="18" t="s">
        <v>1388</v>
      </c>
      <c r="L48" s="16" t="n">
        <v>1</v>
      </c>
      <c r="M48" s="7" t="s">
        <v>1412</v>
      </c>
      <c r="N48" s="17" t="s">
        <v>1413</v>
      </c>
      <c r="O48" s="18" t="s">
        <v>1153</v>
      </c>
      <c r="P48" s="16" t="n">
        <v>4</v>
      </c>
      <c r="Q48" s="7" t="s">
        <v>1414</v>
      </c>
      <c r="R48" s="17" t="s">
        <v>1415</v>
      </c>
      <c r="S48" s="7" t="s">
        <v>1416</v>
      </c>
    </row>
    <row r="49" customFormat="false" ht="57.75" hidden="false" customHeight="true" outlineLevel="0" collapsed="false">
      <c r="A49" s="12" t="n">
        <v>46</v>
      </c>
      <c r="B49" s="13" t="s">
        <v>754</v>
      </c>
      <c r="C49" s="14" t="s">
        <v>510</v>
      </c>
      <c r="D49" s="14" t="s">
        <v>475</v>
      </c>
      <c r="E49" s="12" t="s">
        <v>501</v>
      </c>
      <c r="F49" s="14" t="s">
        <v>506</v>
      </c>
      <c r="G49" s="17" t="s">
        <v>1417</v>
      </c>
      <c r="H49" s="18" t="s">
        <v>1102</v>
      </c>
      <c r="I49" s="7" t="s">
        <v>1072</v>
      </c>
      <c r="J49" s="17" t="s">
        <v>1418</v>
      </c>
      <c r="K49" s="18" t="s">
        <v>1105</v>
      </c>
      <c r="L49" s="16" t="n">
        <v>2</v>
      </c>
      <c r="M49" s="7" t="s">
        <v>1419</v>
      </c>
      <c r="N49" s="17" t="s">
        <v>1420</v>
      </c>
      <c r="O49" s="18" t="s">
        <v>1135</v>
      </c>
      <c r="P49" s="16" t="n">
        <v>4</v>
      </c>
      <c r="Q49" s="7" t="s">
        <v>1421</v>
      </c>
      <c r="R49" s="17" t="s">
        <v>1422</v>
      </c>
      <c r="S49" s="7" t="s">
        <v>1423</v>
      </c>
    </row>
    <row r="50" customFormat="false" ht="57.75" hidden="false" customHeight="true" outlineLevel="0" collapsed="false">
      <c r="A50" s="58" t="n">
        <v>47</v>
      </c>
      <c r="B50" s="59" t="s">
        <v>759</v>
      </c>
      <c r="C50" s="60" t="s">
        <v>528</v>
      </c>
      <c r="D50" s="60" t="s">
        <v>475</v>
      </c>
      <c r="E50" s="58" t="s">
        <v>495</v>
      </c>
      <c r="F50" s="60" t="s">
        <v>515</v>
      </c>
      <c r="G50" s="17" t="s">
        <v>1424</v>
      </c>
      <c r="H50" s="18" t="s">
        <v>1102</v>
      </c>
      <c r="I50" s="7" t="s">
        <v>1103</v>
      </c>
      <c r="J50" s="17" t="s">
        <v>1425</v>
      </c>
      <c r="K50" s="18" t="s">
        <v>1105</v>
      </c>
      <c r="L50" s="16" t="n">
        <v>2</v>
      </c>
      <c r="M50" s="7" t="s">
        <v>1426</v>
      </c>
      <c r="N50" s="17" t="s">
        <v>1427</v>
      </c>
      <c r="O50" s="18" t="s">
        <v>1108</v>
      </c>
      <c r="P50" s="16" t="n">
        <v>4</v>
      </c>
      <c r="Q50" s="7" t="s">
        <v>1428</v>
      </c>
      <c r="R50" s="17" t="s">
        <v>1429</v>
      </c>
      <c r="S50" s="7" t="s">
        <v>1430</v>
      </c>
    </row>
    <row r="51" customFormat="false" ht="57.75" hidden="false" customHeight="true" outlineLevel="0" collapsed="false">
      <c r="A51" s="58" t="n">
        <v>48</v>
      </c>
      <c r="B51" s="59" t="s">
        <v>763</v>
      </c>
      <c r="C51" s="60" t="s">
        <v>528</v>
      </c>
      <c r="D51" s="60" t="s">
        <v>469</v>
      </c>
      <c r="E51" s="58" t="s">
        <v>534</v>
      </c>
      <c r="F51" s="60" t="s">
        <v>496</v>
      </c>
      <c r="G51" s="17" t="s">
        <v>1431</v>
      </c>
      <c r="H51" s="18" t="s">
        <v>1071</v>
      </c>
      <c r="I51" s="7" t="s">
        <v>1432</v>
      </c>
      <c r="J51" s="17" t="s">
        <v>1433</v>
      </c>
      <c r="K51" s="18" t="s">
        <v>1074</v>
      </c>
      <c r="L51" s="16" t="n">
        <v>2</v>
      </c>
      <c r="M51" s="7" t="s">
        <v>1434</v>
      </c>
      <c r="N51" s="17" t="s">
        <v>1435</v>
      </c>
      <c r="O51" s="18" t="s">
        <v>1077</v>
      </c>
      <c r="P51" s="16" t="n">
        <v>4</v>
      </c>
      <c r="Q51" s="7" t="s">
        <v>1436</v>
      </c>
      <c r="R51" s="17" t="s">
        <v>1437</v>
      </c>
      <c r="S51" s="7" t="s">
        <v>1438</v>
      </c>
    </row>
    <row r="52" customFormat="false" ht="57.75" hidden="false" customHeight="true" outlineLevel="0" collapsed="false">
      <c r="A52" s="58" t="n">
        <v>49</v>
      </c>
      <c r="B52" s="59" t="s">
        <v>768</v>
      </c>
      <c r="C52" s="60" t="s">
        <v>528</v>
      </c>
      <c r="D52" s="60" t="s">
        <v>471</v>
      </c>
      <c r="E52" s="58" t="s">
        <v>495</v>
      </c>
      <c r="F52" s="60" t="s">
        <v>524</v>
      </c>
      <c r="G52" s="17" t="s">
        <v>1439</v>
      </c>
      <c r="H52" s="18" t="s">
        <v>1082</v>
      </c>
      <c r="I52" s="7" t="s">
        <v>1103</v>
      </c>
      <c r="J52" s="17" t="s">
        <v>1440</v>
      </c>
      <c r="K52" s="18" t="s">
        <v>1084</v>
      </c>
      <c r="L52" s="16" t="n">
        <v>2</v>
      </c>
      <c r="M52" s="7" t="s">
        <v>1441</v>
      </c>
      <c r="N52" s="17" t="s">
        <v>1442</v>
      </c>
      <c r="O52" s="18" t="s">
        <v>1087</v>
      </c>
      <c r="P52" s="16" t="n">
        <v>4</v>
      </c>
      <c r="Q52" s="7" t="s">
        <v>1443</v>
      </c>
      <c r="R52" s="17" t="s">
        <v>1444</v>
      </c>
      <c r="S52" s="7" t="s">
        <v>1445</v>
      </c>
    </row>
    <row r="53" customFormat="false" ht="57.75" hidden="false" customHeight="true" outlineLevel="0" collapsed="false">
      <c r="A53" s="58" t="n">
        <v>50</v>
      </c>
      <c r="B53" s="59" t="s">
        <v>772</v>
      </c>
      <c r="C53" s="60" t="s">
        <v>528</v>
      </c>
      <c r="D53" s="60" t="s">
        <v>471</v>
      </c>
      <c r="E53" s="58" t="s">
        <v>495</v>
      </c>
      <c r="F53" s="60" t="s">
        <v>524</v>
      </c>
      <c r="G53" s="17" t="s">
        <v>1446</v>
      </c>
      <c r="H53" s="18" t="s">
        <v>1082</v>
      </c>
      <c r="I53" s="7" t="s">
        <v>1447</v>
      </c>
      <c r="J53" s="17" t="s">
        <v>1448</v>
      </c>
      <c r="K53" s="18" t="s">
        <v>1084</v>
      </c>
      <c r="L53" s="16" t="n">
        <v>2</v>
      </c>
      <c r="M53" s="7" t="s">
        <v>1449</v>
      </c>
      <c r="N53" s="17" t="s">
        <v>1450</v>
      </c>
      <c r="O53" s="18" t="s">
        <v>1087</v>
      </c>
      <c r="P53" s="16" t="n">
        <v>4</v>
      </c>
      <c r="Q53" s="7" t="s">
        <v>1451</v>
      </c>
      <c r="R53" s="17" t="s">
        <v>773</v>
      </c>
      <c r="S53" s="7" t="s">
        <v>1452</v>
      </c>
    </row>
    <row r="54" customFormat="false" ht="57.75" hidden="false" customHeight="true" outlineLevel="0" collapsed="false">
      <c r="A54" s="58" t="n">
        <v>51</v>
      </c>
      <c r="B54" s="59" t="s">
        <v>776</v>
      </c>
      <c r="C54" s="60" t="s">
        <v>528</v>
      </c>
      <c r="D54" s="60" t="s">
        <v>479</v>
      </c>
      <c r="E54" s="58" t="s">
        <v>495</v>
      </c>
      <c r="F54" s="60" t="s">
        <v>515</v>
      </c>
      <c r="G54" s="17" t="s">
        <v>1453</v>
      </c>
      <c r="H54" s="18" t="s">
        <v>99</v>
      </c>
      <c r="I54" s="7" t="s">
        <v>1103</v>
      </c>
      <c r="J54" s="17" t="s">
        <v>777</v>
      </c>
      <c r="K54" s="18" t="s">
        <v>1150</v>
      </c>
      <c r="L54" s="16" t="n">
        <v>2</v>
      </c>
      <c r="M54" s="7" t="s">
        <v>1454</v>
      </c>
      <c r="N54" s="17" t="s">
        <v>1455</v>
      </c>
      <c r="O54" s="18" t="s">
        <v>1153</v>
      </c>
      <c r="P54" s="16" t="n">
        <v>4</v>
      </c>
      <c r="Q54" s="7" t="s">
        <v>1456</v>
      </c>
      <c r="R54" s="17" t="s">
        <v>1457</v>
      </c>
      <c r="S54" s="7" t="s">
        <v>1458</v>
      </c>
    </row>
    <row r="55" customFormat="false" ht="57.75" hidden="false" customHeight="true" outlineLevel="0" collapsed="false">
      <c r="A55" s="58" t="n">
        <v>52</v>
      </c>
      <c r="B55" s="59" t="s">
        <v>781</v>
      </c>
      <c r="C55" s="60" t="s">
        <v>528</v>
      </c>
      <c r="D55" s="60" t="s">
        <v>469</v>
      </c>
      <c r="E55" s="58" t="s">
        <v>495</v>
      </c>
      <c r="F55" s="60" t="s">
        <v>496</v>
      </c>
      <c r="G55" s="17" t="s">
        <v>1459</v>
      </c>
      <c r="H55" s="18" t="s">
        <v>1071</v>
      </c>
      <c r="I55" s="7" t="s">
        <v>1072</v>
      </c>
      <c r="J55" s="17" t="s">
        <v>1460</v>
      </c>
      <c r="K55" s="18" t="s">
        <v>1074</v>
      </c>
      <c r="L55" s="16" t="n">
        <v>2</v>
      </c>
      <c r="M55" s="7" t="s">
        <v>1461</v>
      </c>
      <c r="N55" s="17" t="s">
        <v>1462</v>
      </c>
      <c r="O55" s="18" t="s">
        <v>1077</v>
      </c>
      <c r="P55" s="16" t="n">
        <v>4</v>
      </c>
      <c r="Q55" s="7" t="s">
        <v>1463</v>
      </c>
      <c r="R55" s="17" t="s">
        <v>1464</v>
      </c>
      <c r="S55" s="7" t="s">
        <v>1465</v>
      </c>
    </row>
    <row r="56" customFormat="false" ht="57.75" hidden="false" customHeight="true" outlineLevel="0" collapsed="false">
      <c r="A56" s="58" t="n">
        <v>53</v>
      </c>
      <c r="B56" s="59" t="s">
        <v>527</v>
      </c>
      <c r="C56" s="60" t="s">
        <v>528</v>
      </c>
      <c r="D56" s="60" t="s">
        <v>469</v>
      </c>
      <c r="E56" s="58" t="s">
        <v>495</v>
      </c>
      <c r="F56" s="60" t="s">
        <v>529</v>
      </c>
      <c r="G56" s="17" t="s">
        <v>1466</v>
      </c>
      <c r="H56" s="18" t="s">
        <v>1071</v>
      </c>
      <c r="I56" s="7" t="s">
        <v>1103</v>
      </c>
      <c r="J56" s="17" t="s">
        <v>1467</v>
      </c>
      <c r="K56" s="18" t="s">
        <v>1074</v>
      </c>
      <c r="L56" s="16" t="n">
        <v>2</v>
      </c>
      <c r="M56" s="7" t="s">
        <v>1468</v>
      </c>
      <c r="N56" s="17" t="s">
        <v>1469</v>
      </c>
      <c r="O56" s="18" t="s">
        <v>1143</v>
      </c>
      <c r="P56" s="16" t="n">
        <v>4</v>
      </c>
      <c r="Q56" s="7" t="s">
        <v>1470</v>
      </c>
      <c r="R56" s="17" t="s">
        <v>1471</v>
      </c>
      <c r="S56" s="7" t="s">
        <v>1472</v>
      </c>
    </row>
    <row r="57" customFormat="false" ht="57.75" hidden="false" customHeight="true" outlineLevel="0" collapsed="false">
      <c r="A57" s="58" t="n">
        <v>54</v>
      </c>
      <c r="B57" s="59" t="s">
        <v>785</v>
      </c>
      <c r="C57" s="60" t="s">
        <v>528</v>
      </c>
      <c r="D57" s="60" t="s">
        <v>479</v>
      </c>
      <c r="E57" s="58" t="s">
        <v>495</v>
      </c>
      <c r="F57" s="60" t="s">
        <v>515</v>
      </c>
      <c r="G57" s="17" t="s">
        <v>1473</v>
      </c>
      <c r="H57" s="18" t="s">
        <v>99</v>
      </c>
      <c r="I57" s="7" t="s">
        <v>1148</v>
      </c>
      <c r="J57" s="17" t="s">
        <v>1474</v>
      </c>
      <c r="K57" s="18" t="s">
        <v>1388</v>
      </c>
      <c r="L57" s="16" t="n">
        <v>2</v>
      </c>
      <c r="M57" s="7" t="s">
        <v>1475</v>
      </c>
      <c r="N57" s="17" t="s">
        <v>1476</v>
      </c>
      <c r="O57" s="18" t="s">
        <v>1153</v>
      </c>
      <c r="P57" s="16" t="n">
        <v>4</v>
      </c>
      <c r="Q57" s="7" t="s">
        <v>1477</v>
      </c>
      <c r="R57" s="17" t="s">
        <v>1478</v>
      </c>
      <c r="S57" s="7" t="s">
        <v>1479</v>
      </c>
    </row>
    <row r="58" customFormat="false" ht="57.75" hidden="false" customHeight="true" outlineLevel="0" collapsed="false">
      <c r="A58" s="58" t="n">
        <v>55</v>
      </c>
      <c r="B58" s="59" t="s">
        <v>789</v>
      </c>
      <c r="C58" s="60" t="s">
        <v>528</v>
      </c>
      <c r="D58" s="60" t="s">
        <v>477</v>
      </c>
      <c r="E58" s="58" t="s">
        <v>495</v>
      </c>
      <c r="F58" s="60" t="s">
        <v>496</v>
      </c>
      <c r="G58" s="17" t="s">
        <v>1480</v>
      </c>
      <c r="H58" s="18" t="s">
        <v>1113</v>
      </c>
      <c r="I58" s="7" t="s">
        <v>1481</v>
      </c>
      <c r="J58" s="17" t="s">
        <v>1482</v>
      </c>
      <c r="K58" s="18" t="s">
        <v>1116</v>
      </c>
      <c r="L58" s="16" t="n">
        <v>2</v>
      </c>
      <c r="M58" s="7" t="s">
        <v>1483</v>
      </c>
      <c r="N58" s="17" t="s">
        <v>1484</v>
      </c>
      <c r="O58" s="18" t="s">
        <v>1119</v>
      </c>
      <c r="P58" s="16" t="n">
        <v>4</v>
      </c>
      <c r="Q58" s="7" t="s">
        <v>1485</v>
      </c>
      <c r="R58" s="17" t="s">
        <v>1486</v>
      </c>
      <c r="S58" s="7" t="s">
        <v>1487</v>
      </c>
    </row>
    <row r="59" customFormat="false" ht="57.75" hidden="false" customHeight="true" outlineLevel="0" collapsed="false">
      <c r="A59" s="58" t="n">
        <v>56</v>
      </c>
      <c r="B59" s="59" t="s">
        <v>793</v>
      </c>
      <c r="C59" s="60" t="s">
        <v>528</v>
      </c>
      <c r="D59" s="60" t="s">
        <v>471</v>
      </c>
      <c r="E59" s="58" t="s">
        <v>495</v>
      </c>
      <c r="F59" s="60" t="s">
        <v>529</v>
      </c>
      <c r="G59" s="17" t="s">
        <v>1488</v>
      </c>
      <c r="H59" s="18" t="s">
        <v>1082</v>
      </c>
      <c r="I59" s="7" t="s">
        <v>1103</v>
      </c>
      <c r="J59" s="17" t="s">
        <v>1489</v>
      </c>
      <c r="K59" s="18" t="s">
        <v>1082</v>
      </c>
      <c r="L59" s="16" t="n">
        <v>1</v>
      </c>
      <c r="M59" s="7" t="s">
        <v>1490</v>
      </c>
      <c r="N59" s="17" t="s">
        <v>794</v>
      </c>
      <c r="O59" s="18" t="s">
        <v>1087</v>
      </c>
      <c r="P59" s="16" t="n">
        <v>4</v>
      </c>
      <c r="Q59" s="7" t="s">
        <v>1491</v>
      </c>
      <c r="R59" s="17" t="s">
        <v>1492</v>
      </c>
      <c r="S59" s="7" t="s">
        <v>1493</v>
      </c>
    </row>
    <row r="60" customFormat="false" ht="57.75" hidden="false" customHeight="true" outlineLevel="0" collapsed="false">
      <c r="A60" s="58" t="n">
        <v>57</v>
      </c>
      <c r="B60" s="59" t="s">
        <v>798</v>
      </c>
      <c r="C60" s="60" t="s">
        <v>528</v>
      </c>
      <c r="D60" s="60" t="s">
        <v>479</v>
      </c>
      <c r="E60" s="58" t="s">
        <v>495</v>
      </c>
      <c r="F60" s="60" t="s">
        <v>529</v>
      </c>
      <c r="G60" s="17" t="s">
        <v>1494</v>
      </c>
      <c r="H60" s="18" t="s">
        <v>1388</v>
      </c>
      <c r="I60" s="7" t="s">
        <v>1103</v>
      </c>
      <c r="J60" s="17" t="s">
        <v>1495</v>
      </c>
      <c r="K60" s="18" t="s">
        <v>1388</v>
      </c>
      <c r="L60" s="16" t="n">
        <v>2</v>
      </c>
      <c r="M60" s="7" t="s">
        <v>1496</v>
      </c>
      <c r="N60" s="17" t="s">
        <v>1497</v>
      </c>
      <c r="O60" s="18" t="s">
        <v>1153</v>
      </c>
      <c r="P60" s="16" t="n">
        <v>4</v>
      </c>
      <c r="Q60" s="7" t="s">
        <v>1498</v>
      </c>
      <c r="R60" s="17" t="s">
        <v>1499</v>
      </c>
      <c r="S60" s="7" t="s">
        <v>1500</v>
      </c>
    </row>
    <row r="61" customFormat="false" ht="57.75" hidden="false" customHeight="true" outlineLevel="0" collapsed="false">
      <c r="A61" s="58" t="n">
        <v>58</v>
      </c>
      <c r="B61" s="59" t="s">
        <v>802</v>
      </c>
      <c r="C61" s="60" t="s">
        <v>528</v>
      </c>
      <c r="D61" s="60" t="s">
        <v>477</v>
      </c>
      <c r="E61" s="58" t="s">
        <v>501</v>
      </c>
      <c r="F61" s="60" t="s">
        <v>506</v>
      </c>
      <c r="G61" s="17" t="s">
        <v>1501</v>
      </c>
      <c r="H61" s="18" t="s">
        <v>1113</v>
      </c>
      <c r="I61" s="7" t="s">
        <v>1072</v>
      </c>
      <c r="J61" s="17" t="s">
        <v>1502</v>
      </c>
      <c r="K61" s="18" t="s">
        <v>1116</v>
      </c>
      <c r="L61" s="16" t="n">
        <v>2</v>
      </c>
      <c r="M61" s="7" t="s">
        <v>1503</v>
      </c>
      <c r="N61" s="17" t="s">
        <v>1504</v>
      </c>
      <c r="O61" s="18" t="s">
        <v>1119</v>
      </c>
      <c r="P61" s="16" t="n">
        <v>4</v>
      </c>
      <c r="Q61" s="7" t="s">
        <v>1505</v>
      </c>
      <c r="R61" s="17" t="s">
        <v>803</v>
      </c>
      <c r="S61" s="7" t="s">
        <v>1506</v>
      </c>
    </row>
    <row r="62" customFormat="false" ht="57.75" hidden="false" customHeight="true" outlineLevel="0" collapsed="false">
      <c r="A62" s="58" t="n">
        <v>59</v>
      </c>
      <c r="B62" s="59" t="s">
        <v>806</v>
      </c>
      <c r="C62" s="60" t="s">
        <v>528</v>
      </c>
      <c r="D62" s="60" t="s">
        <v>471</v>
      </c>
      <c r="E62" s="58" t="s">
        <v>501</v>
      </c>
      <c r="F62" s="60" t="s">
        <v>506</v>
      </c>
      <c r="G62" s="17" t="s">
        <v>1507</v>
      </c>
      <c r="H62" s="18" t="s">
        <v>1082</v>
      </c>
      <c r="I62" s="7" t="s">
        <v>1072</v>
      </c>
      <c r="J62" s="17" t="s">
        <v>1508</v>
      </c>
      <c r="K62" s="18" t="s">
        <v>1084</v>
      </c>
      <c r="L62" s="16" t="n">
        <v>2</v>
      </c>
      <c r="M62" s="7" t="s">
        <v>1509</v>
      </c>
      <c r="N62" s="17" t="s">
        <v>1510</v>
      </c>
      <c r="O62" s="18" t="s">
        <v>1087</v>
      </c>
      <c r="P62" s="16" t="n">
        <v>4</v>
      </c>
      <c r="Q62" s="7" t="s">
        <v>1511</v>
      </c>
      <c r="R62" s="17" t="s">
        <v>1512</v>
      </c>
      <c r="S62" s="7" t="s">
        <v>1513</v>
      </c>
    </row>
    <row r="63" customFormat="false" ht="57.75" hidden="false" customHeight="true" outlineLevel="0" collapsed="false">
      <c r="A63" s="58" t="n">
        <v>60</v>
      </c>
      <c r="B63" s="59" t="s">
        <v>810</v>
      </c>
      <c r="C63" s="60" t="s">
        <v>528</v>
      </c>
      <c r="D63" s="60" t="s">
        <v>469</v>
      </c>
      <c r="E63" s="58" t="s">
        <v>501</v>
      </c>
      <c r="F63" s="60" t="s">
        <v>496</v>
      </c>
      <c r="G63" s="17" t="s">
        <v>1514</v>
      </c>
      <c r="H63" s="18" t="s">
        <v>1071</v>
      </c>
      <c r="I63" s="7" t="s">
        <v>1515</v>
      </c>
      <c r="J63" s="17" t="s">
        <v>1516</v>
      </c>
      <c r="K63" s="18" t="s">
        <v>1071</v>
      </c>
      <c r="L63" s="16" t="n">
        <v>2</v>
      </c>
      <c r="M63" s="7" t="s">
        <v>1517</v>
      </c>
      <c r="N63" s="17" t="s">
        <v>1518</v>
      </c>
      <c r="O63" s="18" t="s">
        <v>1077</v>
      </c>
      <c r="P63" s="16" t="n">
        <v>4</v>
      </c>
      <c r="Q63" s="7" t="s">
        <v>1519</v>
      </c>
      <c r="R63" s="17" t="s">
        <v>1520</v>
      </c>
      <c r="S63" s="7" t="s">
        <v>1521</v>
      </c>
    </row>
    <row r="64" customFormat="false" ht="57.75" hidden="false" customHeight="true" outlineLevel="0" collapsed="false">
      <c r="A64" s="61" t="n">
        <v>61</v>
      </c>
      <c r="B64" s="62" t="s">
        <v>814</v>
      </c>
      <c r="C64" s="63" t="s">
        <v>533</v>
      </c>
      <c r="D64" s="63" t="s">
        <v>479</v>
      </c>
      <c r="E64" s="61" t="s">
        <v>501</v>
      </c>
      <c r="F64" s="63" t="s">
        <v>496</v>
      </c>
      <c r="G64" s="17" t="s">
        <v>1522</v>
      </c>
      <c r="H64" s="18" t="s">
        <v>1388</v>
      </c>
      <c r="I64" s="7" t="s">
        <v>1523</v>
      </c>
      <c r="J64" s="17" t="s">
        <v>1524</v>
      </c>
      <c r="K64" s="18" t="s">
        <v>1150</v>
      </c>
      <c r="L64" s="16" t="n">
        <v>3</v>
      </c>
      <c r="M64" s="7" t="s">
        <v>1525</v>
      </c>
      <c r="N64" s="17" t="s">
        <v>1526</v>
      </c>
      <c r="O64" s="18" t="s">
        <v>1153</v>
      </c>
      <c r="P64" s="16" t="n">
        <v>4</v>
      </c>
      <c r="Q64" s="7" t="s">
        <v>1527</v>
      </c>
      <c r="R64" s="17" t="s">
        <v>1528</v>
      </c>
      <c r="S64" s="7" t="s">
        <v>1529</v>
      </c>
    </row>
    <row r="65" customFormat="false" ht="57.75" hidden="false" customHeight="true" outlineLevel="0" collapsed="false">
      <c r="A65" s="61" t="n">
        <v>62</v>
      </c>
      <c r="B65" s="62" t="s">
        <v>818</v>
      </c>
      <c r="C65" s="63" t="s">
        <v>533</v>
      </c>
      <c r="D65" s="63" t="s">
        <v>475</v>
      </c>
      <c r="E65" s="61" t="s">
        <v>495</v>
      </c>
      <c r="F65" s="63" t="s">
        <v>515</v>
      </c>
      <c r="G65" s="17" t="s">
        <v>1530</v>
      </c>
      <c r="H65" s="18" t="s">
        <v>99</v>
      </c>
      <c r="I65" s="7" t="s">
        <v>1103</v>
      </c>
      <c r="J65" s="17" t="s">
        <v>1531</v>
      </c>
      <c r="K65" s="18" t="s">
        <v>1105</v>
      </c>
      <c r="L65" s="16" t="n">
        <v>2</v>
      </c>
      <c r="M65" s="7" t="s">
        <v>1532</v>
      </c>
      <c r="N65" s="17" t="s">
        <v>819</v>
      </c>
      <c r="O65" s="18" t="s">
        <v>1108</v>
      </c>
      <c r="P65" s="16" t="n">
        <v>4</v>
      </c>
      <c r="Q65" s="7" t="s">
        <v>1533</v>
      </c>
      <c r="R65" s="17" t="s">
        <v>1534</v>
      </c>
      <c r="S65" s="7" t="s">
        <v>1535</v>
      </c>
    </row>
    <row r="66" customFormat="false" ht="57.75" hidden="false" customHeight="true" outlineLevel="0" collapsed="false">
      <c r="A66" s="61" t="n">
        <v>63</v>
      </c>
      <c r="B66" s="62" t="s">
        <v>823</v>
      </c>
      <c r="C66" s="63" t="s">
        <v>533</v>
      </c>
      <c r="D66" s="63" t="s">
        <v>475</v>
      </c>
      <c r="E66" s="61" t="s">
        <v>534</v>
      </c>
      <c r="F66" s="63" t="s">
        <v>515</v>
      </c>
      <c r="G66" s="17" t="s">
        <v>1536</v>
      </c>
      <c r="H66" s="18" t="s">
        <v>99</v>
      </c>
      <c r="I66" s="7" t="s">
        <v>1103</v>
      </c>
      <c r="J66" s="17" t="s">
        <v>1537</v>
      </c>
      <c r="K66" s="18" t="s">
        <v>1105</v>
      </c>
      <c r="L66" s="16" t="n">
        <v>2</v>
      </c>
      <c r="M66" s="7" t="s">
        <v>1538</v>
      </c>
      <c r="N66" s="17" t="s">
        <v>1539</v>
      </c>
      <c r="O66" s="18" t="s">
        <v>1135</v>
      </c>
      <c r="P66" s="16" t="n">
        <v>4</v>
      </c>
      <c r="Q66" s="7" t="s">
        <v>1540</v>
      </c>
      <c r="R66" s="17" t="s">
        <v>1541</v>
      </c>
      <c r="S66" s="7" t="s">
        <v>1542</v>
      </c>
    </row>
    <row r="67" customFormat="false" ht="57.75" hidden="false" customHeight="true" outlineLevel="0" collapsed="false">
      <c r="A67" s="61" t="n">
        <v>64</v>
      </c>
      <c r="B67" s="62" t="s">
        <v>827</v>
      </c>
      <c r="C67" s="63" t="s">
        <v>533</v>
      </c>
      <c r="D67" s="63" t="s">
        <v>473</v>
      </c>
      <c r="E67" s="61" t="s">
        <v>495</v>
      </c>
      <c r="F67" s="63" t="s">
        <v>524</v>
      </c>
      <c r="G67" s="17" t="s">
        <v>1543</v>
      </c>
      <c r="H67" s="18" t="s">
        <v>1092</v>
      </c>
      <c r="I67" s="7" t="s">
        <v>1544</v>
      </c>
      <c r="J67" s="17" t="s">
        <v>1545</v>
      </c>
      <c r="K67" s="18" t="s">
        <v>1094</v>
      </c>
      <c r="L67" s="16" t="n">
        <v>2</v>
      </c>
      <c r="M67" s="7" t="s">
        <v>1546</v>
      </c>
      <c r="N67" s="17" t="s">
        <v>1547</v>
      </c>
      <c r="O67" s="18" t="s">
        <v>1097</v>
      </c>
      <c r="P67" s="16" t="n">
        <v>4</v>
      </c>
      <c r="Q67" s="7" t="s">
        <v>1548</v>
      </c>
      <c r="R67" s="17" t="s">
        <v>1549</v>
      </c>
      <c r="S67" s="7" t="s">
        <v>1550</v>
      </c>
    </row>
    <row r="68" customFormat="false" ht="57.75" hidden="false" customHeight="true" outlineLevel="0" collapsed="false">
      <c r="A68" s="61" t="n">
        <v>65</v>
      </c>
      <c r="B68" s="62" t="s">
        <v>532</v>
      </c>
      <c r="C68" s="63" t="s">
        <v>533</v>
      </c>
      <c r="D68" s="63" t="s">
        <v>477</v>
      </c>
      <c r="E68" s="61" t="s">
        <v>534</v>
      </c>
      <c r="F68" s="63" t="s">
        <v>496</v>
      </c>
      <c r="G68" s="17" t="s">
        <v>1551</v>
      </c>
      <c r="H68" s="18" t="s">
        <v>1113</v>
      </c>
      <c r="I68" s="7" t="s">
        <v>1072</v>
      </c>
      <c r="J68" s="17" t="s">
        <v>1552</v>
      </c>
      <c r="K68" s="18" t="s">
        <v>1116</v>
      </c>
      <c r="L68" s="16" t="n">
        <v>1</v>
      </c>
      <c r="M68" s="7" t="s">
        <v>1553</v>
      </c>
      <c r="N68" s="17" t="s">
        <v>1554</v>
      </c>
      <c r="O68" s="18" t="s">
        <v>1119</v>
      </c>
      <c r="P68" s="16" t="n">
        <v>4</v>
      </c>
      <c r="Q68" s="7" t="s">
        <v>1555</v>
      </c>
      <c r="R68" s="17" t="s">
        <v>1556</v>
      </c>
      <c r="S68" s="7" t="s">
        <v>1557</v>
      </c>
    </row>
    <row r="69" customFormat="false" ht="57.75" hidden="false" customHeight="true" outlineLevel="0" collapsed="false">
      <c r="A69" s="61" t="n">
        <v>66</v>
      </c>
      <c r="B69" s="62" t="s">
        <v>831</v>
      </c>
      <c r="C69" s="63" t="s">
        <v>533</v>
      </c>
      <c r="D69" s="63" t="s">
        <v>479</v>
      </c>
      <c r="E69" s="61" t="s">
        <v>501</v>
      </c>
      <c r="F69" s="63" t="s">
        <v>506</v>
      </c>
      <c r="G69" s="17" t="s">
        <v>1558</v>
      </c>
      <c r="H69" s="18" t="s">
        <v>1388</v>
      </c>
      <c r="I69" s="7" t="s">
        <v>1072</v>
      </c>
      <c r="J69" s="17" t="s">
        <v>1559</v>
      </c>
      <c r="K69" s="18" t="s">
        <v>1150</v>
      </c>
      <c r="L69" s="16" t="n">
        <v>2</v>
      </c>
      <c r="M69" s="7" t="s">
        <v>1560</v>
      </c>
      <c r="N69" s="17" t="s">
        <v>1561</v>
      </c>
      <c r="O69" s="18" t="s">
        <v>1153</v>
      </c>
      <c r="P69" s="16" t="n">
        <v>4</v>
      </c>
      <c r="Q69" s="7" t="s">
        <v>1562</v>
      </c>
      <c r="R69" s="17" t="s">
        <v>1563</v>
      </c>
      <c r="S69" s="7" t="s">
        <v>1564</v>
      </c>
    </row>
    <row r="70" customFormat="false" ht="57.75" hidden="false" customHeight="true" outlineLevel="0" collapsed="false">
      <c r="A70" s="61" t="n">
        <v>67</v>
      </c>
      <c r="B70" s="62" t="s">
        <v>835</v>
      </c>
      <c r="C70" s="63" t="s">
        <v>533</v>
      </c>
      <c r="D70" s="63" t="s">
        <v>477</v>
      </c>
      <c r="E70" s="61" t="s">
        <v>501</v>
      </c>
      <c r="F70" s="63" t="s">
        <v>496</v>
      </c>
      <c r="G70" s="17" t="s">
        <v>1123</v>
      </c>
      <c r="H70" s="18" t="s">
        <v>1113</v>
      </c>
      <c r="I70" s="7" t="s">
        <v>1515</v>
      </c>
      <c r="J70" s="17" t="s">
        <v>836</v>
      </c>
      <c r="K70" s="18" t="s">
        <v>1116</v>
      </c>
      <c r="L70" s="16" t="n">
        <v>2</v>
      </c>
      <c r="M70" s="7" t="s">
        <v>1565</v>
      </c>
      <c r="N70" s="17" t="s">
        <v>1566</v>
      </c>
      <c r="O70" s="18" t="s">
        <v>1119</v>
      </c>
      <c r="P70" s="16" t="n">
        <v>4</v>
      </c>
      <c r="Q70" s="7" t="s">
        <v>1567</v>
      </c>
      <c r="R70" s="17" t="s">
        <v>1568</v>
      </c>
      <c r="S70" s="7" t="s">
        <v>1569</v>
      </c>
    </row>
    <row r="71" customFormat="false" ht="57.75" hidden="false" customHeight="true" outlineLevel="0" collapsed="false">
      <c r="A71" s="61" t="n">
        <v>68</v>
      </c>
      <c r="B71" s="62" t="s">
        <v>839</v>
      </c>
      <c r="C71" s="63" t="s">
        <v>533</v>
      </c>
      <c r="D71" s="63" t="s">
        <v>471</v>
      </c>
      <c r="E71" s="61" t="s">
        <v>495</v>
      </c>
      <c r="F71" s="63" t="s">
        <v>524</v>
      </c>
      <c r="G71" s="17" t="s">
        <v>1570</v>
      </c>
      <c r="H71" s="18" t="s">
        <v>1082</v>
      </c>
      <c r="I71" s="7" t="s">
        <v>1103</v>
      </c>
      <c r="J71" s="17" t="s">
        <v>1571</v>
      </c>
      <c r="K71" s="18" t="s">
        <v>1084</v>
      </c>
      <c r="L71" s="16" t="n">
        <v>3</v>
      </c>
      <c r="M71" s="7" t="s">
        <v>1572</v>
      </c>
      <c r="N71" s="17" t="s">
        <v>1573</v>
      </c>
      <c r="O71" s="18" t="s">
        <v>1087</v>
      </c>
      <c r="P71" s="16" t="n">
        <v>4</v>
      </c>
      <c r="Q71" s="7" t="s">
        <v>1574</v>
      </c>
      <c r="R71" s="17" t="s">
        <v>1575</v>
      </c>
      <c r="S71" s="7" t="s">
        <v>1576</v>
      </c>
    </row>
    <row r="72" customFormat="false" ht="57.75" hidden="false" customHeight="true" outlineLevel="0" collapsed="false">
      <c r="A72" s="61" t="n">
        <v>69</v>
      </c>
      <c r="B72" s="62" t="s">
        <v>843</v>
      </c>
      <c r="C72" s="63" t="s">
        <v>533</v>
      </c>
      <c r="D72" s="63" t="s">
        <v>471</v>
      </c>
      <c r="E72" s="61" t="s">
        <v>495</v>
      </c>
      <c r="F72" s="63" t="s">
        <v>515</v>
      </c>
      <c r="G72" s="17" t="s">
        <v>1577</v>
      </c>
      <c r="H72" s="18" t="s">
        <v>99</v>
      </c>
      <c r="I72" s="7" t="s">
        <v>1148</v>
      </c>
      <c r="J72" s="17" t="s">
        <v>1578</v>
      </c>
      <c r="K72" s="18" t="s">
        <v>1084</v>
      </c>
      <c r="L72" s="16" t="n">
        <v>3</v>
      </c>
      <c r="M72" s="7" t="s">
        <v>1579</v>
      </c>
      <c r="N72" s="17" t="s">
        <v>1580</v>
      </c>
      <c r="O72" s="18" t="s">
        <v>1087</v>
      </c>
      <c r="P72" s="16" t="n">
        <v>4</v>
      </c>
      <c r="Q72" s="7" t="s">
        <v>1581</v>
      </c>
      <c r="R72" s="17" t="s">
        <v>1582</v>
      </c>
      <c r="S72" s="7" t="s">
        <v>1583</v>
      </c>
    </row>
    <row r="73" customFormat="false" ht="57.75" hidden="false" customHeight="true" outlineLevel="0" collapsed="false">
      <c r="A73" s="54" t="n">
        <v>70</v>
      </c>
      <c r="B73" s="55" t="s">
        <v>848</v>
      </c>
      <c r="C73" s="56" t="s">
        <v>519</v>
      </c>
      <c r="D73" s="56" t="s">
        <v>471</v>
      </c>
      <c r="E73" s="54" t="s">
        <v>495</v>
      </c>
      <c r="F73" s="56" t="s">
        <v>496</v>
      </c>
      <c r="G73" s="17" t="s">
        <v>1584</v>
      </c>
      <c r="H73" s="18" t="s">
        <v>1082</v>
      </c>
      <c r="I73" s="7" t="s">
        <v>1072</v>
      </c>
      <c r="J73" s="17" t="s">
        <v>1585</v>
      </c>
      <c r="K73" s="18" t="s">
        <v>1084</v>
      </c>
      <c r="L73" s="16" t="n">
        <v>2</v>
      </c>
      <c r="M73" s="7" t="s">
        <v>1586</v>
      </c>
      <c r="N73" s="17" t="s">
        <v>1587</v>
      </c>
      <c r="O73" s="18" t="s">
        <v>1588</v>
      </c>
      <c r="P73" s="16" t="n">
        <v>5</v>
      </c>
      <c r="Q73" s="7" t="s">
        <v>1589</v>
      </c>
      <c r="R73" s="17" t="s">
        <v>1590</v>
      </c>
      <c r="S73" s="7" t="s">
        <v>1591</v>
      </c>
    </row>
    <row r="74" customFormat="false" ht="57.75" hidden="false" customHeight="true" outlineLevel="0" collapsed="false">
      <c r="A74" s="54" t="n">
        <v>71</v>
      </c>
      <c r="B74" s="55" t="s">
        <v>852</v>
      </c>
      <c r="C74" s="56" t="s">
        <v>519</v>
      </c>
      <c r="D74" s="56" t="s">
        <v>475</v>
      </c>
      <c r="E74" s="54" t="s">
        <v>495</v>
      </c>
      <c r="F74" s="56" t="s">
        <v>515</v>
      </c>
      <c r="G74" s="17" t="s">
        <v>1592</v>
      </c>
      <c r="H74" s="18" t="s">
        <v>1102</v>
      </c>
      <c r="I74" s="7" t="s">
        <v>1593</v>
      </c>
      <c r="J74" s="17" t="s">
        <v>1594</v>
      </c>
      <c r="K74" s="18" t="s">
        <v>1105</v>
      </c>
      <c r="L74" s="16" t="n">
        <v>1</v>
      </c>
      <c r="M74" s="7" t="s">
        <v>1595</v>
      </c>
      <c r="N74" s="17" t="s">
        <v>1596</v>
      </c>
      <c r="O74" s="18" t="s">
        <v>1108</v>
      </c>
      <c r="P74" s="16" t="n">
        <v>5</v>
      </c>
      <c r="Q74" s="7" t="s">
        <v>1597</v>
      </c>
      <c r="R74" s="17" t="s">
        <v>1598</v>
      </c>
      <c r="S74" s="7" t="s">
        <v>1599</v>
      </c>
    </row>
    <row r="75" customFormat="false" ht="57.75" hidden="false" customHeight="true" outlineLevel="0" collapsed="false">
      <c r="A75" s="54" t="n">
        <v>72</v>
      </c>
      <c r="B75" s="55" t="s">
        <v>856</v>
      </c>
      <c r="C75" s="56" t="s">
        <v>519</v>
      </c>
      <c r="D75" s="56" t="s">
        <v>475</v>
      </c>
      <c r="E75" s="54" t="s">
        <v>495</v>
      </c>
      <c r="F75" s="56" t="s">
        <v>515</v>
      </c>
      <c r="G75" s="17" t="s">
        <v>1600</v>
      </c>
      <c r="H75" s="18" t="s">
        <v>99</v>
      </c>
      <c r="I75" s="7" t="s">
        <v>1103</v>
      </c>
      <c r="J75" s="17" t="s">
        <v>1601</v>
      </c>
      <c r="K75" s="18" t="s">
        <v>1105</v>
      </c>
      <c r="L75" s="16" t="n">
        <v>2</v>
      </c>
      <c r="M75" s="7" t="s">
        <v>1602</v>
      </c>
      <c r="N75" s="17" t="s">
        <v>1603</v>
      </c>
      <c r="O75" s="18" t="s">
        <v>1135</v>
      </c>
      <c r="P75" s="16" t="n">
        <v>4</v>
      </c>
      <c r="Q75" s="7" t="s">
        <v>1604</v>
      </c>
      <c r="R75" s="17" t="s">
        <v>1605</v>
      </c>
      <c r="S75" s="7" t="s">
        <v>1606</v>
      </c>
    </row>
    <row r="76" customFormat="false" ht="57.75" hidden="false" customHeight="true" outlineLevel="0" collapsed="false">
      <c r="A76" s="54" t="n">
        <v>73</v>
      </c>
      <c r="B76" s="55" t="s">
        <v>860</v>
      </c>
      <c r="C76" s="56" t="s">
        <v>519</v>
      </c>
      <c r="D76" s="56" t="s">
        <v>471</v>
      </c>
      <c r="E76" s="54" t="s">
        <v>501</v>
      </c>
      <c r="F76" s="56" t="s">
        <v>496</v>
      </c>
      <c r="G76" s="17" t="s">
        <v>1607</v>
      </c>
      <c r="H76" s="18" t="s">
        <v>1082</v>
      </c>
      <c r="I76" s="7" t="s">
        <v>1072</v>
      </c>
      <c r="J76" s="17" t="s">
        <v>1115</v>
      </c>
      <c r="K76" s="18" t="s">
        <v>1084</v>
      </c>
      <c r="L76" s="16" t="n">
        <v>1</v>
      </c>
      <c r="M76" s="7" t="s">
        <v>1608</v>
      </c>
      <c r="N76" s="17" t="s">
        <v>1609</v>
      </c>
      <c r="O76" s="18" t="s">
        <v>1087</v>
      </c>
      <c r="P76" s="16" t="n">
        <v>4</v>
      </c>
      <c r="Q76" s="7" t="s">
        <v>1610</v>
      </c>
      <c r="R76" s="17" t="s">
        <v>1611</v>
      </c>
      <c r="S76" s="7" t="s">
        <v>1612</v>
      </c>
    </row>
    <row r="77" customFormat="false" ht="57.75" hidden="false" customHeight="true" outlineLevel="0" collapsed="false">
      <c r="A77" s="54" t="n">
        <v>74</v>
      </c>
      <c r="B77" s="55" t="s">
        <v>864</v>
      </c>
      <c r="C77" s="56" t="s">
        <v>519</v>
      </c>
      <c r="D77" s="56" t="s">
        <v>479</v>
      </c>
      <c r="E77" s="54" t="s">
        <v>495</v>
      </c>
      <c r="F77" s="56" t="s">
        <v>515</v>
      </c>
      <c r="G77" s="17" t="s">
        <v>1613</v>
      </c>
      <c r="H77" s="18" t="s">
        <v>99</v>
      </c>
      <c r="I77" s="7" t="s">
        <v>1103</v>
      </c>
      <c r="J77" s="17" t="s">
        <v>865</v>
      </c>
      <c r="K77" s="18" t="s">
        <v>1150</v>
      </c>
      <c r="L77" s="16" t="n">
        <v>2</v>
      </c>
      <c r="M77" s="7" t="s">
        <v>1614</v>
      </c>
      <c r="N77" s="17" t="s">
        <v>1391</v>
      </c>
      <c r="O77" s="18" t="s">
        <v>1153</v>
      </c>
      <c r="P77" s="16" t="n">
        <v>4</v>
      </c>
      <c r="Q77" s="7" t="s">
        <v>1615</v>
      </c>
      <c r="R77" s="17" t="s">
        <v>1616</v>
      </c>
      <c r="S77" s="7" t="s">
        <v>1617</v>
      </c>
    </row>
    <row r="78" customFormat="false" ht="57.75" hidden="false" customHeight="true" outlineLevel="0" collapsed="false">
      <c r="A78" s="54" t="n">
        <v>75</v>
      </c>
      <c r="B78" s="55" t="s">
        <v>868</v>
      </c>
      <c r="C78" s="56" t="s">
        <v>519</v>
      </c>
      <c r="D78" s="56" t="s">
        <v>477</v>
      </c>
      <c r="E78" s="54" t="s">
        <v>501</v>
      </c>
      <c r="F78" s="56" t="s">
        <v>496</v>
      </c>
      <c r="G78" s="17" t="s">
        <v>1618</v>
      </c>
      <c r="H78" s="18" t="s">
        <v>1113</v>
      </c>
      <c r="I78" s="7" t="s">
        <v>1361</v>
      </c>
      <c r="J78" s="17" t="s">
        <v>1619</v>
      </c>
      <c r="K78" s="18" t="s">
        <v>1116</v>
      </c>
      <c r="L78" s="16" t="n">
        <v>2</v>
      </c>
      <c r="M78" s="7" t="s">
        <v>1620</v>
      </c>
      <c r="N78" s="17" t="s">
        <v>1621</v>
      </c>
      <c r="O78" s="18" t="s">
        <v>1119</v>
      </c>
      <c r="P78" s="16" t="n">
        <v>4</v>
      </c>
      <c r="Q78" s="7" t="s">
        <v>1622</v>
      </c>
      <c r="R78" s="17" t="s">
        <v>1623</v>
      </c>
      <c r="S78" s="7" t="s">
        <v>1624</v>
      </c>
    </row>
    <row r="79" customFormat="false" ht="57.75" hidden="false" customHeight="true" outlineLevel="0" collapsed="false">
      <c r="A79" s="54" t="n">
        <v>76</v>
      </c>
      <c r="B79" s="55" t="s">
        <v>872</v>
      </c>
      <c r="C79" s="56" t="s">
        <v>519</v>
      </c>
      <c r="D79" s="56" t="s">
        <v>469</v>
      </c>
      <c r="E79" s="54" t="s">
        <v>501</v>
      </c>
      <c r="F79" s="56" t="s">
        <v>506</v>
      </c>
      <c r="G79" s="17" t="s">
        <v>1625</v>
      </c>
      <c r="H79" s="18" t="s">
        <v>1071</v>
      </c>
      <c r="I79" s="7" t="s">
        <v>1072</v>
      </c>
      <c r="J79" s="17" t="s">
        <v>873</v>
      </c>
      <c r="K79" s="18" t="s">
        <v>1074</v>
      </c>
      <c r="L79" s="16" t="n">
        <v>2</v>
      </c>
      <c r="M79" s="7" t="s">
        <v>1626</v>
      </c>
      <c r="N79" s="17" t="s">
        <v>1627</v>
      </c>
      <c r="O79" s="18" t="s">
        <v>1077</v>
      </c>
      <c r="P79" s="16" t="n">
        <v>4</v>
      </c>
      <c r="Q79" s="7" t="s">
        <v>1628</v>
      </c>
      <c r="R79" s="17" t="s">
        <v>1629</v>
      </c>
      <c r="S79" s="7" t="s">
        <v>1630</v>
      </c>
    </row>
    <row r="80" customFormat="false" ht="57.75" hidden="false" customHeight="true" outlineLevel="0" collapsed="false">
      <c r="A80" s="54" t="n">
        <v>77</v>
      </c>
      <c r="B80" s="55" t="s">
        <v>518</v>
      </c>
      <c r="C80" s="56" t="s">
        <v>519</v>
      </c>
      <c r="D80" s="56" t="s">
        <v>479</v>
      </c>
      <c r="E80" s="54" t="s">
        <v>495</v>
      </c>
      <c r="F80" s="56" t="s">
        <v>515</v>
      </c>
      <c r="G80" s="17" t="s">
        <v>1631</v>
      </c>
      <c r="H80" s="18" t="s">
        <v>99</v>
      </c>
      <c r="I80" s="7" t="s">
        <v>1148</v>
      </c>
      <c r="J80" s="17" t="s">
        <v>1632</v>
      </c>
      <c r="K80" s="18" t="s">
        <v>1388</v>
      </c>
      <c r="L80" s="16" t="n">
        <v>1</v>
      </c>
      <c r="M80" s="7" t="s">
        <v>1633</v>
      </c>
      <c r="N80" s="17" t="s">
        <v>1634</v>
      </c>
      <c r="O80" s="18" t="s">
        <v>1153</v>
      </c>
      <c r="P80" s="16" t="n">
        <v>4</v>
      </c>
      <c r="Q80" s="7" t="s">
        <v>1635</v>
      </c>
      <c r="R80" s="17" t="s">
        <v>1636</v>
      </c>
      <c r="S80" s="7" t="s">
        <v>1637</v>
      </c>
    </row>
    <row r="81" customFormat="false" ht="57.75" hidden="false" customHeight="true" outlineLevel="0" collapsed="false">
      <c r="A81" s="57" t="n">
        <v>78</v>
      </c>
      <c r="B81" s="9" t="s">
        <v>877</v>
      </c>
      <c r="C81" s="32" t="s">
        <v>523</v>
      </c>
      <c r="D81" s="32" t="s">
        <v>469</v>
      </c>
      <c r="E81" s="57" t="s">
        <v>501</v>
      </c>
      <c r="F81" s="32" t="s">
        <v>529</v>
      </c>
      <c r="G81" s="17" t="s">
        <v>1638</v>
      </c>
      <c r="H81" s="18" t="s">
        <v>1071</v>
      </c>
      <c r="I81" s="7" t="s">
        <v>1639</v>
      </c>
      <c r="J81" s="17" t="s">
        <v>1640</v>
      </c>
      <c r="K81" s="18" t="s">
        <v>1071</v>
      </c>
      <c r="L81" s="16" t="n">
        <v>1</v>
      </c>
      <c r="M81" s="7" t="s">
        <v>1641</v>
      </c>
      <c r="N81" s="17" t="s">
        <v>1642</v>
      </c>
      <c r="O81" s="18" t="s">
        <v>1143</v>
      </c>
      <c r="P81" s="16" t="n">
        <v>4</v>
      </c>
      <c r="Q81" s="7" t="s">
        <v>1643</v>
      </c>
      <c r="R81" s="17" t="s">
        <v>1644</v>
      </c>
      <c r="S81" s="7" t="s">
        <v>1645</v>
      </c>
    </row>
    <row r="82" customFormat="false" ht="57.75" hidden="false" customHeight="true" outlineLevel="0" collapsed="false">
      <c r="A82" s="57" t="n">
        <v>79</v>
      </c>
      <c r="B82" s="9" t="s">
        <v>881</v>
      </c>
      <c r="C82" s="32" t="s">
        <v>523</v>
      </c>
      <c r="D82" s="32" t="s">
        <v>477</v>
      </c>
      <c r="E82" s="57" t="s">
        <v>495</v>
      </c>
      <c r="F82" s="32" t="s">
        <v>506</v>
      </c>
      <c r="G82" s="17" t="s">
        <v>1646</v>
      </c>
      <c r="H82" s="18" t="s">
        <v>1113</v>
      </c>
      <c r="I82" s="7" t="s">
        <v>1072</v>
      </c>
      <c r="J82" s="17" t="s">
        <v>1647</v>
      </c>
      <c r="K82" s="18" t="s">
        <v>1116</v>
      </c>
      <c r="L82" s="16" t="n">
        <v>2</v>
      </c>
      <c r="M82" s="7" t="s">
        <v>1648</v>
      </c>
      <c r="N82" s="17" t="s">
        <v>1649</v>
      </c>
      <c r="O82" s="18" t="s">
        <v>1119</v>
      </c>
      <c r="P82" s="16" t="n">
        <v>4</v>
      </c>
      <c r="Q82" s="7" t="s">
        <v>1650</v>
      </c>
      <c r="R82" s="17" t="s">
        <v>882</v>
      </c>
      <c r="S82" s="7" t="s">
        <v>1651</v>
      </c>
    </row>
    <row r="83" customFormat="false" ht="57.75" hidden="false" customHeight="true" outlineLevel="0" collapsed="false">
      <c r="A83" s="57" t="n">
        <v>80</v>
      </c>
      <c r="B83" s="9" t="s">
        <v>885</v>
      </c>
      <c r="C83" s="32" t="s">
        <v>523</v>
      </c>
      <c r="D83" s="32" t="s">
        <v>473</v>
      </c>
      <c r="E83" s="57" t="s">
        <v>495</v>
      </c>
      <c r="F83" s="32" t="s">
        <v>524</v>
      </c>
      <c r="G83" s="17" t="s">
        <v>1652</v>
      </c>
      <c r="H83" s="18" t="s">
        <v>1092</v>
      </c>
      <c r="I83" s="7" t="s">
        <v>1544</v>
      </c>
      <c r="J83" s="17" t="s">
        <v>1653</v>
      </c>
      <c r="K83" s="18" t="s">
        <v>1094</v>
      </c>
      <c r="L83" s="16" t="n">
        <v>2</v>
      </c>
      <c r="M83" s="7" t="s">
        <v>1654</v>
      </c>
      <c r="N83" s="17" t="s">
        <v>1655</v>
      </c>
      <c r="O83" s="18" t="s">
        <v>1097</v>
      </c>
      <c r="P83" s="16" t="n">
        <v>4</v>
      </c>
      <c r="Q83" s="7" t="s">
        <v>1656</v>
      </c>
      <c r="R83" s="17" t="s">
        <v>1657</v>
      </c>
      <c r="S83" s="7" t="s">
        <v>1658</v>
      </c>
    </row>
    <row r="84" customFormat="false" ht="57.75" hidden="false" customHeight="true" outlineLevel="0" collapsed="false">
      <c r="A84" s="57" t="n">
        <v>81</v>
      </c>
      <c r="B84" s="9" t="s">
        <v>889</v>
      </c>
      <c r="C84" s="32" t="s">
        <v>523</v>
      </c>
      <c r="D84" s="32" t="s">
        <v>479</v>
      </c>
      <c r="E84" s="57" t="s">
        <v>501</v>
      </c>
      <c r="F84" s="32" t="s">
        <v>524</v>
      </c>
      <c r="G84" s="17" t="s">
        <v>1659</v>
      </c>
      <c r="H84" s="18" t="s">
        <v>1388</v>
      </c>
      <c r="I84" s="7" t="s">
        <v>1072</v>
      </c>
      <c r="J84" s="17" t="s">
        <v>890</v>
      </c>
      <c r="K84" s="18" t="s">
        <v>1150</v>
      </c>
      <c r="L84" s="16" t="n">
        <v>3</v>
      </c>
      <c r="M84" s="7" t="s">
        <v>1660</v>
      </c>
      <c r="N84" s="17" t="s">
        <v>1661</v>
      </c>
      <c r="O84" s="18" t="s">
        <v>1153</v>
      </c>
      <c r="P84" s="16" t="n">
        <v>4</v>
      </c>
      <c r="Q84" s="7" t="s">
        <v>1662</v>
      </c>
      <c r="R84" s="17" t="s">
        <v>1663</v>
      </c>
      <c r="S84" s="7" t="s">
        <v>1664</v>
      </c>
    </row>
    <row r="85" customFormat="false" ht="57.75" hidden="false" customHeight="true" outlineLevel="0" collapsed="false">
      <c r="A85" s="57" t="n">
        <v>82</v>
      </c>
      <c r="B85" s="9" t="s">
        <v>522</v>
      </c>
      <c r="C85" s="32" t="s">
        <v>523</v>
      </c>
      <c r="D85" s="32" t="s">
        <v>471</v>
      </c>
      <c r="E85" s="57" t="s">
        <v>495</v>
      </c>
      <c r="F85" s="32" t="s">
        <v>524</v>
      </c>
      <c r="G85" s="17" t="s">
        <v>1665</v>
      </c>
      <c r="H85" s="18" t="s">
        <v>1082</v>
      </c>
      <c r="I85" s="7" t="s">
        <v>1103</v>
      </c>
      <c r="J85" s="17" t="s">
        <v>1666</v>
      </c>
      <c r="K85" s="18" t="s">
        <v>1084</v>
      </c>
      <c r="L85" s="16" t="n">
        <v>2</v>
      </c>
      <c r="M85" s="7" t="s">
        <v>1667</v>
      </c>
      <c r="N85" s="17" t="s">
        <v>1668</v>
      </c>
      <c r="O85" s="18" t="s">
        <v>1087</v>
      </c>
      <c r="P85" s="16" t="n">
        <v>3</v>
      </c>
      <c r="Q85" s="7" t="s">
        <v>1669</v>
      </c>
      <c r="R85" s="17" t="s">
        <v>1670</v>
      </c>
      <c r="S85" s="7" t="s">
        <v>1671</v>
      </c>
    </row>
    <row r="86" customFormat="false" ht="57.75" hidden="false" customHeight="true" outlineLevel="0" collapsed="false">
      <c r="A86" s="57" t="n">
        <v>83</v>
      </c>
      <c r="B86" s="9" t="s">
        <v>893</v>
      </c>
      <c r="C86" s="32" t="s">
        <v>523</v>
      </c>
      <c r="D86" s="32" t="s">
        <v>477</v>
      </c>
      <c r="E86" s="57" t="s">
        <v>501</v>
      </c>
      <c r="F86" s="32" t="s">
        <v>496</v>
      </c>
      <c r="G86" s="17" t="s">
        <v>1672</v>
      </c>
      <c r="H86" s="18" t="s">
        <v>1113</v>
      </c>
      <c r="I86" s="7" t="s">
        <v>1072</v>
      </c>
      <c r="J86" s="17" t="s">
        <v>1673</v>
      </c>
      <c r="K86" s="18" t="s">
        <v>1116</v>
      </c>
      <c r="L86" s="16" t="n">
        <v>2</v>
      </c>
      <c r="M86" s="7" t="s">
        <v>1674</v>
      </c>
      <c r="N86" s="17" t="s">
        <v>1675</v>
      </c>
      <c r="O86" s="18" t="s">
        <v>1119</v>
      </c>
      <c r="P86" s="16" t="n">
        <v>4</v>
      </c>
      <c r="Q86" s="7" t="s">
        <v>1676</v>
      </c>
      <c r="R86" s="17" t="s">
        <v>1677</v>
      </c>
      <c r="S86" s="7" t="s">
        <v>1678</v>
      </c>
    </row>
    <row r="87" customFormat="false" ht="57.75" hidden="false" customHeight="true" outlineLevel="0" collapsed="false">
      <c r="A87" s="57" t="n">
        <v>84</v>
      </c>
      <c r="B87" s="9" t="s">
        <v>897</v>
      </c>
      <c r="C87" s="32" t="s">
        <v>523</v>
      </c>
      <c r="D87" s="32" t="s">
        <v>473</v>
      </c>
      <c r="E87" s="57" t="s">
        <v>495</v>
      </c>
      <c r="F87" s="32" t="s">
        <v>529</v>
      </c>
      <c r="G87" s="17" t="s">
        <v>1679</v>
      </c>
      <c r="H87" s="18" t="s">
        <v>1092</v>
      </c>
      <c r="I87" s="7" t="s">
        <v>1103</v>
      </c>
      <c r="J87" s="17" t="s">
        <v>1680</v>
      </c>
      <c r="K87" s="18" t="s">
        <v>1094</v>
      </c>
      <c r="L87" s="16" t="n">
        <v>2</v>
      </c>
      <c r="M87" s="7" t="s">
        <v>1681</v>
      </c>
      <c r="N87" s="17" t="s">
        <v>898</v>
      </c>
      <c r="O87" s="18" t="s">
        <v>1682</v>
      </c>
      <c r="P87" s="16" t="n">
        <v>4</v>
      </c>
      <c r="Q87" s="7" t="s">
        <v>1683</v>
      </c>
      <c r="R87" s="17" t="s">
        <v>1684</v>
      </c>
      <c r="S87" s="7" t="s">
        <v>1685</v>
      </c>
    </row>
    <row r="88" customFormat="false" ht="57.75" hidden="false" customHeight="true" outlineLevel="0" collapsed="false">
      <c r="A88" s="57" t="n">
        <v>85</v>
      </c>
      <c r="B88" s="9" t="s">
        <v>901</v>
      </c>
      <c r="C88" s="32" t="s">
        <v>523</v>
      </c>
      <c r="D88" s="32" t="s">
        <v>473</v>
      </c>
      <c r="E88" s="57" t="s">
        <v>501</v>
      </c>
      <c r="F88" s="32" t="s">
        <v>496</v>
      </c>
      <c r="G88" s="17" t="s">
        <v>1686</v>
      </c>
      <c r="H88" s="18" t="s">
        <v>1092</v>
      </c>
      <c r="I88" s="7" t="s">
        <v>1687</v>
      </c>
      <c r="J88" s="17" t="s">
        <v>1688</v>
      </c>
      <c r="K88" s="18" t="s">
        <v>1094</v>
      </c>
      <c r="L88" s="16" t="n">
        <v>1</v>
      </c>
      <c r="M88" s="7" t="s">
        <v>1689</v>
      </c>
      <c r="N88" s="17" t="s">
        <v>902</v>
      </c>
      <c r="O88" s="18" t="s">
        <v>1097</v>
      </c>
      <c r="P88" s="16" t="n">
        <v>4</v>
      </c>
      <c r="Q88" s="7" t="s">
        <v>1690</v>
      </c>
      <c r="R88" s="17" t="s">
        <v>1691</v>
      </c>
      <c r="S88" s="7" t="s">
        <v>1692</v>
      </c>
    </row>
    <row r="89" customFormat="false" ht="57.75" hidden="false" customHeight="true" outlineLevel="0" collapsed="false">
      <c r="A89" s="45" t="n">
        <v>86</v>
      </c>
      <c r="B89" s="46" t="s">
        <v>905</v>
      </c>
      <c r="C89" s="47" t="s">
        <v>500</v>
      </c>
      <c r="D89" s="47" t="s">
        <v>471</v>
      </c>
      <c r="E89" s="45" t="s">
        <v>495</v>
      </c>
      <c r="F89" s="47" t="s">
        <v>529</v>
      </c>
      <c r="G89" s="17" t="s">
        <v>1693</v>
      </c>
      <c r="H89" s="18" t="s">
        <v>99</v>
      </c>
      <c r="I89" s="7" t="s">
        <v>1694</v>
      </c>
      <c r="J89" s="17" t="s">
        <v>1695</v>
      </c>
      <c r="K89" s="18" t="s">
        <v>1082</v>
      </c>
      <c r="L89" s="16" t="n">
        <v>1</v>
      </c>
      <c r="M89" s="7" t="s">
        <v>1696</v>
      </c>
      <c r="N89" s="17" t="s">
        <v>1697</v>
      </c>
      <c r="O89" s="18" t="s">
        <v>1196</v>
      </c>
      <c r="P89" s="16" t="n">
        <v>4</v>
      </c>
      <c r="Q89" s="7" t="s">
        <v>1698</v>
      </c>
      <c r="R89" s="17" t="s">
        <v>1699</v>
      </c>
      <c r="S89" s="7" t="s">
        <v>1700</v>
      </c>
    </row>
    <row r="90" customFormat="false" ht="57.75" hidden="false" customHeight="true" outlineLevel="0" collapsed="false">
      <c r="A90" s="45" t="n">
        <v>87</v>
      </c>
      <c r="B90" s="46" t="s">
        <v>909</v>
      </c>
      <c r="C90" s="47" t="s">
        <v>500</v>
      </c>
      <c r="D90" s="47" t="s">
        <v>477</v>
      </c>
      <c r="E90" s="45" t="s">
        <v>534</v>
      </c>
      <c r="F90" s="47" t="s">
        <v>496</v>
      </c>
      <c r="G90" s="17" t="s">
        <v>1701</v>
      </c>
      <c r="H90" s="18" t="s">
        <v>1113</v>
      </c>
      <c r="I90" s="7" t="s">
        <v>1072</v>
      </c>
      <c r="J90" s="17" t="s">
        <v>1702</v>
      </c>
      <c r="K90" s="18" t="s">
        <v>1116</v>
      </c>
      <c r="L90" s="16" t="n">
        <v>3</v>
      </c>
      <c r="M90" s="7" t="s">
        <v>1703</v>
      </c>
      <c r="N90" s="17" t="s">
        <v>1704</v>
      </c>
      <c r="O90" s="18" t="s">
        <v>1119</v>
      </c>
      <c r="P90" s="16" t="n">
        <v>4</v>
      </c>
      <c r="Q90" s="7" t="s">
        <v>1705</v>
      </c>
      <c r="R90" s="17" t="s">
        <v>1706</v>
      </c>
      <c r="S90" s="7" t="s">
        <v>1707</v>
      </c>
    </row>
    <row r="91" customFormat="false" ht="57.75" hidden="false" customHeight="true" outlineLevel="0" collapsed="false">
      <c r="A91" s="45" t="n">
        <v>88</v>
      </c>
      <c r="B91" s="46" t="s">
        <v>913</v>
      </c>
      <c r="C91" s="47" t="s">
        <v>500</v>
      </c>
      <c r="D91" s="47" t="s">
        <v>475</v>
      </c>
      <c r="E91" s="45" t="s">
        <v>495</v>
      </c>
      <c r="F91" s="47" t="s">
        <v>515</v>
      </c>
      <c r="G91" s="17" t="s">
        <v>1708</v>
      </c>
      <c r="H91" s="18" t="s">
        <v>99</v>
      </c>
      <c r="I91" s="7" t="s">
        <v>1103</v>
      </c>
      <c r="J91" s="17" t="s">
        <v>1709</v>
      </c>
      <c r="K91" s="18" t="s">
        <v>1105</v>
      </c>
      <c r="L91" s="16" t="n">
        <v>3</v>
      </c>
      <c r="M91" s="7" t="s">
        <v>1710</v>
      </c>
      <c r="N91" s="17" t="s">
        <v>1711</v>
      </c>
      <c r="O91" s="18" t="s">
        <v>1108</v>
      </c>
      <c r="P91" s="16" t="n">
        <v>4</v>
      </c>
      <c r="Q91" s="7" t="s">
        <v>1712</v>
      </c>
      <c r="R91" s="17" t="s">
        <v>914</v>
      </c>
      <c r="S91" s="7" t="s">
        <v>1713</v>
      </c>
    </row>
    <row r="92" customFormat="false" ht="57.75" hidden="false" customHeight="true" outlineLevel="0" collapsed="false">
      <c r="A92" s="45" t="n">
        <v>89</v>
      </c>
      <c r="B92" s="46" t="s">
        <v>499</v>
      </c>
      <c r="C92" s="47" t="s">
        <v>500</v>
      </c>
      <c r="D92" s="47" t="s">
        <v>479</v>
      </c>
      <c r="E92" s="45" t="s">
        <v>501</v>
      </c>
      <c r="F92" s="47" t="s">
        <v>496</v>
      </c>
      <c r="G92" s="17" t="s">
        <v>1714</v>
      </c>
      <c r="H92" s="18" t="s">
        <v>1388</v>
      </c>
      <c r="I92" s="7" t="s">
        <v>1515</v>
      </c>
      <c r="J92" s="17" t="s">
        <v>1715</v>
      </c>
      <c r="K92" s="18" t="s">
        <v>1150</v>
      </c>
      <c r="L92" s="16" t="n">
        <v>1</v>
      </c>
      <c r="M92" s="7" t="s">
        <v>1716</v>
      </c>
      <c r="N92" s="17" t="s">
        <v>1717</v>
      </c>
      <c r="O92" s="18" t="s">
        <v>1153</v>
      </c>
      <c r="P92" s="16" t="n">
        <v>4</v>
      </c>
      <c r="Q92" s="7" t="s">
        <v>1718</v>
      </c>
      <c r="R92" s="17" t="s">
        <v>1719</v>
      </c>
      <c r="S92" s="7" t="s">
        <v>1720</v>
      </c>
    </row>
    <row r="93" customFormat="false" ht="57.75" hidden="false" customHeight="true" outlineLevel="0" collapsed="false">
      <c r="A93" s="45" t="n">
        <v>90</v>
      </c>
      <c r="B93" s="46" t="s">
        <v>917</v>
      </c>
      <c r="C93" s="47" t="s">
        <v>500</v>
      </c>
      <c r="D93" s="47" t="s">
        <v>473</v>
      </c>
      <c r="E93" s="45" t="s">
        <v>495</v>
      </c>
      <c r="F93" s="47" t="s">
        <v>515</v>
      </c>
      <c r="G93" s="17" t="s">
        <v>1721</v>
      </c>
      <c r="H93" s="18" t="s">
        <v>99</v>
      </c>
      <c r="I93" s="7" t="s">
        <v>1148</v>
      </c>
      <c r="J93" s="17" t="s">
        <v>1722</v>
      </c>
      <c r="K93" s="18" t="s">
        <v>1092</v>
      </c>
      <c r="L93" s="16" t="n">
        <v>1</v>
      </c>
      <c r="M93" s="7" t="s">
        <v>1723</v>
      </c>
      <c r="N93" s="17" t="s">
        <v>1724</v>
      </c>
      <c r="O93" s="18" t="s">
        <v>1097</v>
      </c>
      <c r="P93" s="16" t="n">
        <v>4</v>
      </c>
      <c r="Q93" s="7" t="s">
        <v>1725</v>
      </c>
      <c r="R93" s="17" t="s">
        <v>1726</v>
      </c>
      <c r="S93" s="7" t="s">
        <v>1727</v>
      </c>
    </row>
    <row r="94" customFormat="false" ht="57.75" hidden="false" customHeight="true" outlineLevel="0" collapsed="false">
      <c r="A94" s="45" t="n">
        <v>91</v>
      </c>
      <c r="B94" s="46" t="s">
        <v>921</v>
      </c>
      <c r="C94" s="47" t="s">
        <v>500</v>
      </c>
      <c r="D94" s="47" t="s">
        <v>469</v>
      </c>
      <c r="E94" s="45" t="s">
        <v>534</v>
      </c>
      <c r="F94" s="47" t="s">
        <v>524</v>
      </c>
      <c r="G94" s="17" t="s">
        <v>1728</v>
      </c>
      <c r="H94" s="18" t="s">
        <v>1071</v>
      </c>
      <c r="I94" s="7" t="s">
        <v>1593</v>
      </c>
      <c r="J94" s="17" t="s">
        <v>1729</v>
      </c>
      <c r="K94" s="18" t="s">
        <v>1074</v>
      </c>
      <c r="L94" s="16" t="n">
        <v>2</v>
      </c>
      <c r="M94" s="7" t="s">
        <v>1730</v>
      </c>
      <c r="N94" s="17" t="s">
        <v>1731</v>
      </c>
      <c r="O94" s="18" t="s">
        <v>1077</v>
      </c>
      <c r="P94" s="16" t="n">
        <v>4</v>
      </c>
      <c r="Q94" s="7" t="s">
        <v>1732</v>
      </c>
      <c r="R94" s="17" t="s">
        <v>1733</v>
      </c>
      <c r="S94" s="7" t="s">
        <v>1734</v>
      </c>
    </row>
    <row r="95" customFormat="false" ht="57.75" hidden="false" customHeight="true" outlineLevel="0" collapsed="false">
      <c r="A95" s="51" t="n">
        <v>92</v>
      </c>
      <c r="B95" s="52" t="s">
        <v>925</v>
      </c>
      <c r="C95" s="53" t="s">
        <v>514</v>
      </c>
      <c r="D95" s="53" t="s">
        <v>479</v>
      </c>
      <c r="E95" s="51" t="s">
        <v>534</v>
      </c>
      <c r="F95" s="53" t="s">
        <v>515</v>
      </c>
      <c r="G95" s="17" t="s">
        <v>1735</v>
      </c>
      <c r="H95" s="18" t="s">
        <v>99</v>
      </c>
      <c r="I95" s="7" t="s">
        <v>1736</v>
      </c>
      <c r="J95" s="17" t="s">
        <v>1737</v>
      </c>
      <c r="K95" s="18" t="s">
        <v>1150</v>
      </c>
      <c r="L95" s="16" t="n">
        <v>3</v>
      </c>
      <c r="M95" s="7" t="s">
        <v>1738</v>
      </c>
      <c r="N95" s="17" t="s">
        <v>1739</v>
      </c>
      <c r="O95" s="18" t="s">
        <v>1392</v>
      </c>
      <c r="P95" s="16" t="n">
        <v>4</v>
      </c>
      <c r="Q95" s="7" t="s">
        <v>1740</v>
      </c>
      <c r="R95" s="17" t="s">
        <v>1616</v>
      </c>
      <c r="S95" s="7" t="s">
        <v>1741</v>
      </c>
    </row>
    <row r="96" customFormat="false" ht="57.75" hidden="false" customHeight="true" outlineLevel="0" collapsed="false">
      <c r="A96" s="51" t="n">
        <v>93</v>
      </c>
      <c r="B96" s="52" t="s">
        <v>930</v>
      </c>
      <c r="C96" s="53" t="s">
        <v>514</v>
      </c>
      <c r="D96" s="53" t="s">
        <v>475</v>
      </c>
      <c r="E96" s="51" t="s">
        <v>534</v>
      </c>
      <c r="F96" s="53" t="s">
        <v>496</v>
      </c>
      <c r="G96" s="17" t="s">
        <v>1742</v>
      </c>
      <c r="H96" s="18" t="s">
        <v>1102</v>
      </c>
      <c r="I96" s="7" t="s">
        <v>1743</v>
      </c>
      <c r="J96" s="17" t="s">
        <v>931</v>
      </c>
      <c r="K96" s="18" t="s">
        <v>1105</v>
      </c>
      <c r="L96" s="16" t="n">
        <v>1</v>
      </c>
      <c r="M96" s="7" t="s">
        <v>1744</v>
      </c>
      <c r="N96" s="17" t="s">
        <v>1745</v>
      </c>
      <c r="O96" s="18" t="s">
        <v>1108</v>
      </c>
      <c r="P96" s="16" t="n">
        <v>4</v>
      </c>
      <c r="Q96" s="7" t="s">
        <v>1746</v>
      </c>
      <c r="R96" s="17" t="s">
        <v>1747</v>
      </c>
      <c r="S96" s="7" t="s">
        <v>1748</v>
      </c>
    </row>
    <row r="97" customFormat="false" ht="57.75" hidden="false" customHeight="true" outlineLevel="0" collapsed="false">
      <c r="A97" s="51" t="n">
        <v>94</v>
      </c>
      <c r="B97" s="52" t="s">
        <v>934</v>
      </c>
      <c r="C97" s="53" t="s">
        <v>514</v>
      </c>
      <c r="D97" s="53" t="s">
        <v>471</v>
      </c>
      <c r="E97" s="51" t="s">
        <v>495</v>
      </c>
      <c r="F97" s="53" t="s">
        <v>524</v>
      </c>
      <c r="G97" s="17" t="s">
        <v>1749</v>
      </c>
      <c r="H97" s="18" t="s">
        <v>1082</v>
      </c>
      <c r="I97" s="7" t="s">
        <v>1103</v>
      </c>
      <c r="J97" s="17" t="s">
        <v>1750</v>
      </c>
      <c r="K97" s="18" t="s">
        <v>1084</v>
      </c>
      <c r="L97" s="16" t="n">
        <v>2</v>
      </c>
      <c r="M97" s="7" t="s">
        <v>1751</v>
      </c>
      <c r="N97" s="17" t="s">
        <v>935</v>
      </c>
      <c r="O97" s="18" t="s">
        <v>1087</v>
      </c>
      <c r="P97" s="16" t="n">
        <v>4</v>
      </c>
      <c r="Q97" s="7" t="s">
        <v>1752</v>
      </c>
      <c r="R97" s="17" t="s">
        <v>1753</v>
      </c>
      <c r="S97" s="7" t="s">
        <v>1754</v>
      </c>
    </row>
    <row r="98" customFormat="false" ht="57.75" hidden="false" customHeight="true" outlineLevel="0" collapsed="false">
      <c r="A98" s="51" t="n">
        <v>95</v>
      </c>
      <c r="B98" s="52" t="s">
        <v>513</v>
      </c>
      <c r="C98" s="53" t="s">
        <v>514</v>
      </c>
      <c r="D98" s="53" t="s">
        <v>477</v>
      </c>
      <c r="E98" s="51" t="s">
        <v>495</v>
      </c>
      <c r="F98" s="53" t="s">
        <v>515</v>
      </c>
      <c r="G98" s="17" t="s">
        <v>1755</v>
      </c>
      <c r="H98" s="18" t="s">
        <v>99</v>
      </c>
      <c r="I98" s="7" t="s">
        <v>1756</v>
      </c>
      <c r="J98" s="17" t="s">
        <v>1757</v>
      </c>
      <c r="K98" s="18" t="s">
        <v>1116</v>
      </c>
      <c r="L98" s="16" t="n">
        <v>2</v>
      </c>
      <c r="M98" s="7" t="s">
        <v>1758</v>
      </c>
      <c r="N98" s="17" t="s">
        <v>1759</v>
      </c>
      <c r="O98" s="18" t="s">
        <v>1119</v>
      </c>
      <c r="P98" s="16" t="n">
        <v>4</v>
      </c>
      <c r="Q98" s="7" t="s">
        <v>1760</v>
      </c>
      <c r="R98" s="17" t="s">
        <v>1761</v>
      </c>
      <c r="S98" s="7" t="s">
        <v>1762</v>
      </c>
    </row>
    <row r="99" customFormat="false" ht="57.75" hidden="false" customHeight="true" outlineLevel="0" collapsed="false">
      <c r="A99" s="51" t="n">
        <v>96</v>
      </c>
      <c r="B99" s="52" t="s">
        <v>938</v>
      </c>
      <c r="C99" s="53" t="s">
        <v>514</v>
      </c>
      <c r="D99" s="53" t="s">
        <v>479</v>
      </c>
      <c r="E99" s="51" t="s">
        <v>501</v>
      </c>
      <c r="F99" s="53" t="s">
        <v>506</v>
      </c>
      <c r="G99" s="17" t="s">
        <v>1763</v>
      </c>
      <c r="H99" s="18" t="s">
        <v>1388</v>
      </c>
      <c r="I99" s="7" t="s">
        <v>1072</v>
      </c>
      <c r="J99" s="17" t="s">
        <v>1764</v>
      </c>
      <c r="K99" s="18" t="s">
        <v>1150</v>
      </c>
      <c r="L99" s="16" t="n">
        <v>3</v>
      </c>
      <c r="M99" s="7" t="s">
        <v>1765</v>
      </c>
      <c r="N99" s="17" t="s">
        <v>1766</v>
      </c>
      <c r="O99" s="18" t="s">
        <v>1153</v>
      </c>
      <c r="P99" s="16" t="n">
        <v>4</v>
      </c>
      <c r="Q99" s="7" t="s">
        <v>1767</v>
      </c>
      <c r="R99" s="17" t="s">
        <v>1768</v>
      </c>
      <c r="S99" s="7" t="s">
        <v>1769</v>
      </c>
    </row>
    <row r="100" customFormat="false" ht="57.75" hidden="false" customHeight="true" outlineLevel="0" collapsed="false">
      <c r="A100" s="85" t="n">
        <v>97</v>
      </c>
      <c r="B100" s="88" t="s">
        <v>942</v>
      </c>
      <c r="C100" s="65" t="s">
        <v>943</v>
      </c>
      <c r="D100" s="65" t="s">
        <v>469</v>
      </c>
      <c r="E100" s="85" t="s">
        <v>534</v>
      </c>
      <c r="F100" s="65" t="s">
        <v>496</v>
      </c>
      <c r="G100" s="17" t="s">
        <v>1770</v>
      </c>
      <c r="H100" s="18" t="s">
        <v>1071</v>
      </c>
      <c r="I100" s="7" t="s">
        <v>1072</v>
      </c>
      <c r="J100" s="17" t="s">
        <v>1771</v>
      </c>
      <c r="K100" s="18" t="s">
        <v>1074</v>
      </c>
      <c r="L100" s="16" t="n">
        <v>3</v>
      </c>
      <c r="M100" s="7" t="s">
        <v>1772</v>
      </c>
      <c r="N100" s="17" t="s">
        <v>1773</v>
      </c>
      <c r="O100" s="18" t="s">
        <v>1077</v>
      </c>
      <c r="P100" s="16" t="n">
        <v>4</v>
      </c>
      <c r="Q100" s="7" t="s">
        <v>1774</v>
      </c>
      <c r="R100" s="17" t="s">
        <v>1775</v>
      </c>
      <c r="S100" s="7" t="s">
        <v>1776</v>
      </c>
    </row>
    <row r="101" customFormat="false" ht="57.75" hidden="false" customHeight="true" outlineLevel="0" collapsed="false">
      <c r="A101" s="85" t="n">
        <v>98</v>
      </c>
      <c r="B101" s="88" t="s">
        <v>947</v>
      </c>
      <c r="C101" s="65" t="s">
        <v>943</v>
      </c>
      <c r="D101" s="65" t="s">
        <v>471</v>
      </c>
      <c r="E101" s="85" t="s">
        <v>495</v>
      </c>
      <c r="F101" s="65" t="s">
        <v>524</v>
      </c>
      <c r="G101" s="17" t="s">
        <v>1777</v>
      </c>
      <c r="H101" s="18" t="s">
        <v>1082</v>
      </c>
      <c r="I101" s="7" t="s">
        <v>1778</v>
      </c>
      <c r="J101" s="17" t="s">
        <v>1058</v>
      </c>
      <c r="K101" s="18" t="s">
        <v>1084</v>
      </c>
      <c r="L101" s="16" t="n">
        <v>2</v>
      </c>
      <c r="M101" s="7" t="s">
        <v>1779</v>
      </c>
      <c r="N101" s="17" t="s">
        <v>1780</v>
      </c>
      <c r="O101" s="18" t="s">
        <v>1087</v>
      </c>
      <c r="P101" s="16" t="n">
        <v>4</v>
      </c>
      <c r="Q101" s="7" t="s">
        <v>1781</v>
      </c>
      <c r="R101" s="17" t="s">
        <v>1782</v>
      </c>
      <c r="S101" s="7" t="s">
        <v>1783</v>
      </c>
    </row>
    <row r="102" customFormat="false" ht="57.75" hidden="false" customHeight="true" outlineLevel="0" collapsed="false">
      <c r="A102" s="85" t="n">
        <v>99</v>
      </c>
      <c r="B102" s="88" t="s">
        <v>951</v>
      </c>
      <c r="C102" s="65" t="s">
        <v>943</v>
      </c>
      <c r="D102" s="65" t="s">
        <v>473</v>
      </c>
      <c r="E102" s="85" t="s">
        <v>495</v>
      </c>
      <c r="F102" s="65" t="s">
        <v>496</v>
      </c>
      <c r="G102" s="17" t="s">
        <v>1784</v>
      </c>
      <c r="H102" s="18" t="s">
        <v>1092</v>
      </c>
      <c r="I102" s="7" t="s">
        <v>1544</v>
      </c>
      <c r="J102" s="17" t="s">
        <v>952</v>
      </c>
      <c r="K102" s="18" t="s">
        <v>1094</v>
      </c>
      <c r="L102" s="16" t="n">
        <v>2</v>
      </c>
      <c r="M102" s="7" t="s">
        <v>1785</v>
      </c>
      <c r="N102" s="17" t="s">
        <v>1786</v>
      </c>
      <c r="O102" s="18" t="s">
        <v>1097</v>
      </c>
      <c r="P102" s="16" t="n">
        <v>4</v>
      </c>
      <c r="Q102" s="7" t="s">
        <v>1787</v>
      </c>
      <c r="R102" s="17" t="s">
        <v>1788</v>
      </c>
      <c r="S102" s="7" t="s">
        <v>1789</v>
      </c>
    </row>
    <row r="103" customFormat="false" ht="57.75" hidden="false" customHeight="true" outlineLevel="0" collapsed="false">
      <c r="A103" s="85" t="n">
        <v>100</v>
      </c>
      <c r="B103" s="88" t="s">
        <v>955</v>
      </c>
      <c r="C103" s="65" t="s">
        <v>943</v>
      </c>
      <c r="D103" s="65" t="s">
        <v>475</v>
      </c>
      <c r="E103" s="85" t="s">
        <v>495</v>
      </c>
      <c r="F103" s="65" t="s">
        <v>515</v>
      </c>
      <c r="G103" s="17" t="s">
        <v>1790</v>
      </c>
      <c r="H103" s="18" t="s">
        <v>99</v>
      </c>
      <c r="I103" s="7" t="s">
        <v>1103</v>
      </c>
      <c r="J103" s="17" t="s">
        <v>1791</v>
      </c>
      <c r="K103" s="18" t="s">
        <v>1102</v>
      </c>
      <c r="L103" s="16" t="n">
        <v>1</v>
      </c>
      <c r="M103" s="7" t="s">
        <v>1792</v>
      </c>
      <c r="N103" s="17" t="s">
        <v>1793</v>
      </c>
      <c r="O103" s="18" t="s">
        <v>1108</v>
      </c>
      <c r="P103" s="16" t="n">
        <v>4</v>
      </c>
      <c r="Q103" s="7" t="s">
        <v>1794</v>
      </c>
      <c r="R103" s="17" t="s">
        <v>1795</v>
      </c>
      <c r="S103" s="7" t="s">
        <v>1796</v>
      </c>
    </row>
  </sheetData>
  <autoFilter ref="A3:S103"/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00"/>
  </cols>
  <sheetData>
    <row r="1" customFormat="false" ht="24" hidden="false" customHeight="true" outlineLevel="0" collapsed="false">
      <c r="A1" s="2" t="s">
        <v>1797</v>
      </c>
      <c r="B1" s="2"/>
      <c r="C1" s="2"/>
    </row>
    <row r="2" customFormat="false" ht="30" hidden="false" customHeight="true" outlineLevel="0" collapsed="false">
      <c r="A2" s="66" t="s">
        <v>1798</v>
      </c>
      <c r="B2" s="66"/>
      <c r="C2" s="66"/>
    </row>
    <row r="4" customFormat="false" ht="18" hidden="false" customHeight="true" outlineLevel="0" collapsed="false">
      <c r="A4" s="5" t="s">
        <v>1799</v>
      </c>
      <c r="B4" s="5"/>
      <c r="C4" s="5"/>
    </row>
    <row r="5" customFormat="false" ht="30" hidden="false" customHeight="true" outlineLevel="0" collapsed="false">
      <c r="A5" s="6"/>
      <c r="B5" s="6" t="s">
        <v>273</v>
      </c>
      <c r="C5" s="6" t="s">
        <v>250</v>
      </c>
    </row>
    <row r="6" customFormat="false" ht="30" hidden="false" customHeight="true" outlineLevel="0" collapsed="false">
      <c r="B6" s="17" t="s">
        <v>336</v>
      </c>
      <c r="C6" s="7" t="s">
        <v>1800</v>
      </c>
    </row>
    <row r="7" customFormat="false" ht="30" hidden="false" customHeight="true" outlineLevel="0" collapsed="false">
      <c r="B7" s="17" t="s">
        <v>1801</v>
      </c>
      <c r="C7" s="7" t="s">
        <v>1802</v>
      </c>
    </row>
    <row r="8" customFormat="false" ht="30" hidden="false" customHeight="true" outlineLevel="0" collapsed="false">
      <c r="B8" s="17" t="s">
        <v>1803</v>
      </c>
      <c r="C8" s="7" t="s">
        <v>1804</v>
      </c>
    </row>
    <row r="9" customFormat="false" ht="30" hidden="false" customHeight="true" outlineLevel="0" collapsed="false">
      <c r="B9" s="17" t="s">
        <v>1805</v>
      </c>
      <c r="C9" s="7" t="s">
        <v>1806</v>
      </c>
    </row>
    <row r="10" customFormat="false" ht="30" hidden="false" customHeight="true" outlineLevel="0" collapsed="false">
      <c r="B10" s="17" t="s">
        <v>1807</v>
      </c>
      <c r="C10" s="7" t="s">
        <v>1808</v>
      </c>
    </row>
    <row r="11" customFormat="false" ht="30" hidden="false" customHeight="true" outlineLevel="0" collapsed="false">
      <c r="B11" s="17" t="s">
        <v>1809</v>
      </c>
      <c r="C11" s="7" t="s">
        <v>1810</v>
      </c>
    </row>
    <row r="12" customFormat="false" ht="30" hidden="false" customHeight="true" outlineLevel="0" collapsed="false">
      <c r="B12" s="17" t="s">
        <v>1811</v>
      </c>
      <c r="C12" s="7" t="s">
        <v>1812</v>
      </c>
    </row>
    <row r="13" customFormat="false" ht="30" hidden="false" customHeight="true" outlineLevel="0" collapsed="false">
      <c r="B13" s="17" t="s">
        <v>1813</v>
      </c>
      <c r="C13" s="7" t="s">
        <v>1814</v>
      </c>
    </row>
    <row r="14" customFormat="false" ht="30" hidden="false" customHeight="true" outlineLevel="0" collapsed="false">
      <c r="B14" s="17" t="s">
        <v>1815</v>
      </c>
      <c r="C14" s="7" t="s">
        <v>1816</v>
      </c>
    </row>
    <row r="15" customFormat="false" ht="30" hidden="false" customHeight="true" outlineLevel="0" collapsed="false">
      <c r="B15" s="17" t="s">
        <v>1817</v>
      </c>
      <c r="C15" s="7" t="s">
        <v>1818</v>
      </c>
    </row>
    <row r="16" customFormat="false" ht="30" hidden="false" customHeight="true" outlineLevel="0" collapsed="false">
      <c r="B16" s="17" t="s">
        <v>1819</v>
      </c>
      <c r="C16" s="7" t="s">
        <v>1820</v>
      </c>
    </row>
    <row r="17" customFormat="false" ht="30" hidden="false" customHeight="true" outlineLevel="0" collapsed="false">
      <c r="B17" s="17" t="s">
        <v>1821</v>
      </c>
      <c r="C17" s="7" t="s">
        <v>1822</v>
      </c>
    </row>
    <row r="19" customFormat="false" ht="18" hidden="false" customHeight="true" outlineLevel="0" collapsed="false">
      <c r="A19" s="5" t="s">
        <v>1823</v>
      </c>
      <c r="B19" s="5"/>
      <c r="C19" s="5"/>
    </row>
    <row r="20" customFormat="false" ht="30" hidden="false" customHeight="true" outlineLevel="0" collapsed="false">
      <c r="A20" s="6"/>
      <c r="B20" s="6" t="s">
        <v>273</v>
      </c>
      <c r="C20" s="6" t="s">
        <v>250</v>
      </c>
    </row>
    <row r="21" customFormat="false" ht="30" hidden="false" customHeight="true" outlineLevel="0" collapsed="false">
      <c r="B21" s="17" t="s">
        <v>323</v>
      </c>
      <c r="C21" s="7" t="s">
        <v>1824</v>
      </c>
    </row>
    <row r="22" customFormat="false" ht="30" hidden="false" customHeight="true" outlineLevel="0" collapsed="false">
      <c r="B22" s="17" t="s">
        <v>324</v>
      </c>
      <c r="C22" s="7" t="s">
        <v>1825</v>
      </c>
    </row>
    <row r="23" customFormat="false" ht="30" hidden="false" customHeight="true" outlineLevel="0" collapsed="false">
      <c r="B23" s="17" t="s">
        <v>1826</v>
      </c>
      <c r="C23" s="7" t="s">
        <v>1827</v>
      </c>
    </row>
    <row r="24" customFormat="false" ht="30" hidden="false" customHeight="true" outlineLevel="0" collapsed="false">
      <c r="B24" s="17" t="s">
        <v>1828</v>
      </c>
      <c r="C24" s="7" t="s">
        <v>1829</v>
      </c>
    </row>
    <row r="25" customFormat="false" ht="30" hidden="false" customHeight="true" outlineLevel="0" collapsed="false">
      <c r="B25" s="17" t="s">
        <v>1830</v>
      </c>
      <c r="C25" s="7" t="s">
        <v>1831</v>
      </c>
    </row>
    <row r="26" customFormat="false" ht="30" hidden="false" customHeight="true" outlineLevel="0" collapsed="false">
      <c r="B26" s="17" t="s">
        <v>1832</v>
      </c>
      <c r="C26" s="7" t="s">
        <v>1833</v>
      </c>
    </row>
    <row r="27" customFormat="false" ht="30" hidden="false" customHeight="true" outlineLevel="0" collapsed="false">
      <c r="B27" s="17" t="s">
        <v>1834</v>
      </c>
      <c r="C27" s="7" t="s">
        <v>1835</v>
      </c>
    </row>
    <row r="28" customFormat="false" ht="30" hidden="false" customHeight="true" outlineLevel="0" collapsed="false">
      <c r="B28" s="17" t="s">
        <v>1836</v>
      </c>
      <c r="C28" s="7" t="s">
        <v>1837</v>
      </c>
    </row>
    <row r="29" customFormat="false" ht="30" hidden="false" customHeight="true" outlineLevel="0" collapsed="false">
      <c r="B29" s="17" t="s">
        <v>1838</v>
      </c>
      <c r="C29" s="7" t="s">
        <v>1839</v>
      </c>
    </row>
    <row r="30" customFormat="false" ht="30" hidden="false" customHeight="true" outlineLevel="0" collapsed="false">
      <c r="B30" s="17" t="s">
        <v>1840</v>
      </c>
      <c r="C30" s="7" t="s">
        <v>1841</v>
      </c>
    </row>
    <row r="31" customFormat="false" ht="30" hidden="false" customHeight="true" outlineLevel="0" collapsed="false">
      <c r="B31" s="17" t="s">
        <v>1842</v>
      </c>
      <c r="C31" s="7" t="s">
        <v>1843</v>
      </c>
    </row>
    <row r="33" customFormat="false" ht="18" hidden="false" customHeight="true" outlineLevel="0" collapsed="false">
      <c r="A33" s="5" t="s">
        <v>1844</v>
      </c>
      <c r="B33" s="5"/>
      <c r="C33" s="5"/>
    </row>
    <row r="34" customFormat="false" ht="30" hidden="false" customHeight="true" outlineLevel="0" collapsed="false">
      <c r="A34" s="6"/>
      <c r="B34" s="6" t="s">
        <v>273</v>
      </c>
      <c r="C34" s="6" t="s">
        <v>250</v>
      </c>
    </row>
    <row r="35" customFormat="false" ht="30" hidden="false" customHeight="true" outlineLevel="0" collapsed="false">
      <c r="B35" s="17" t="s">
        <v>1845</v>
      </c>
      <c r="C35" s="7" t="s">
        <v>1846</v>
      </c>
    </row>
    <row r="36" customFormat="false" ht="30" hidden="false" customHeight="true" outlineLevel="0" collapsed="false">
      <c r="B36" s="17" t="s">
        <v>1847</v>
      </c>
      <c r="C36" s="7" t="s">
        <v>1848</v>
      </c>
    </row>
    <row r="37" customFormat="false" ht="30" hidden="false" customHeight="true" outlineLevel="0" collapsed="false">
      <c r="B37" s="17" t="s">
        <v>1849</v>
      </c>
      <c r="C37" s="7" t="s">
        <v>1850</v>
      </c>
    </row>
    <row r="38" customFormat="false" ht="30" hidden="false" customHeight="true" outlineLevel="0" collapsed="false">
      <c r="B38" s="17" t="s">
        <v>1851</v>
      </c>
      <c r="C38" s="7" t="s">
        <v>1852</v>
      </c>
    </row>
    <row r="40" customFormat="false" ht="18" hidden="false" customHeight="true" outlineLevel="0" collapsed="false">
      <c r="A40" s="5" t="s">
        <v>1853</v>
      </c>
      <c r="B40" s="5"/>
      <c r="C40" s="5"/>
    </row>
    <row r="41" customFormat="false" ht="30" hidden="false" customHeight="true" outlineLevel="0" collapsed="false">
      <c r="A41" s="6"/>
      <c r="B41" s="6" t="s">
        <v>273</v>
      </c>
      <c r="C41" s="6" t="s">
        <v>250</v>
      </c>
    </row>
    <row r="42" customFormat="false" ht="30" hidden="false" customHeight="true" outlineLevel="0" collapsed="false">
      <c r="B42" s="17" t="s">
        <v>1854</v>
      </c>
      <c r="C42" s="7" t="s">
        <v>1855</v>
      </c>
    </row>
    <row r="43" customFormat="false" ht="30" hidden="false" customHeight="true" outlineLevel="0" collapsed="false">
      <c r="B43" s="17" t="s">
        <v>1856</v>
      </c>
      <c r="C43" s="7" t="s">
        <v>1857</v>
      </c>
    </row>
    <row r="44" customFormat="false" ht="30" hidden="false" customHeight="true" outlineLevel="0" collapsed="false">
      <c r="B44" s="17" t="s">
        <v>1858</v>
      </c>
      <c r="C44" s="7" t="s">
        <v>1859</v>
      </c>
    </row>
    <row r="45" customFormat="false" ht="30" hidden="false" customHeight="true" outlineLevel="0" collapsed="false">
      <c r="B45" s="17" t="s">
        <v>1860</v>
      </c>
      <c r="C45" s="7" t="s">
        <v>1861</v>
      </c>
    </row>
    <row r="46" customFormat="false" ht="30" hidden="false" customHeight="true" outlineLevel="0" collapsed="false">
      <c r="B46" s="17" t="s">
        <v>1862</v>
      </c>
      <c r="C46" s="7" t="s">
        <v>1863</v>
      </c>
    </row>
    <row r="47" customFormat="false" ht="30" hidden="false" customHeight="true" outlineLevel="0" collapsed="false">
      <c r="B47" s="17" t="s">
        <v>1864</v>
      </c>
      <c r="C47" s="7" t="s">
        <v>1865</v>
      </c>
    </row>
    <row r="48" customFormat="false" ht="30" hidden="false" customHeight="true" outlineLevel="0" collapsed="false">
      <c r="B48" s="17" t="s">
        <v>1866</v>
      </c>
      <c r="C48" s="7" t="s">
        <v>1867</v>
      </c>
    </row>
    <row r="49" customFormat="false" ht="30" hidden="false" customHeight="true" outlineLevel="0" collapsed="false">
      <c r="B49" s="17" t="s">
        <v>1868</v>
      </c>
      <c r="C49" s="7" t="s">
        <v>1869</v>
      </c>
    </row>
    <row r="51" customFormat="false" ht="18" hidden="false" customHeight="true" outlineLevel="0" collapsed="false">
      <c r="A51" s="5" t="s">
        <v>1870</v>
      </c>
      <c r="B51" s="5"/>
      <c r="C51" s="5"/>
    </row>
    <row r="52" customFormat="false" ht="30" hidden="false" customHeight="true" outlineLevel="0" collapsed="false">
      <c r="A52" s="6"/>
      <c r="B52" s="6" t="s">
        <v>273</v>
      </c>
      <c r="C52" s="6" t="s">
        <v>250</v>
      </c>
    </row>
    <row r="53" customFormat="false" ht="30" hidden="false" customHeight="true" outlineLevel="0" collapsed="false">
      <c r="B53" s="17" t="s">
        <v>1871</v>
      </c>
      <c r="C53" s="7" t="s">
        <v>1872</v>
      </c>
    </row>
    <row r="54" customFormat="false" ht="30" hidden="false" customHeight="true" outlineLevel="0" collapsed="false">
      <c r="B54" s="17" t="s">
        <v>1873</v>
      </c>
      <c r="C54" s="7" t="s">
        <v>1874</v>
      </c>
    </row>
    <row r="55" customFormat="false" ht="30" hidden="false" customHeight="true" outlineLevel="0" collapsed="false">
      <c r="B55" s="17" t="s">
        <v>1875</v>
      </c>
      <c r="C55" s="7" t="s">
        <v>1876</v>
      </c>
    </row>
    <row r="56" customFormat="false" ht="30" hidden="false" customHeight="true" outlineLevel="0" collapsed="false">
      <c r="B56" s="17" t="s">
        <v>1877</v>
      </c>
      <c r="C56" s="7" t="s">
        <v>1878</v>
      </c>
    </row>
    <row r="57" customFormat="false" ht="30" hidden="false" customHeight="true" outlineLevel="0" collapsed="false">
      <c r="B57" s="17" t="s">
        <v>1879</v>
      </c>
      <c r="C57" s="7" t="s">
        <v>1880</v>
      </c>
    </row>
  </sheetData>
  <mergeCells count="7">
    <mergeCell ref="A1:C1"/>
    <mergeCell ref="A2:C2"/>
    <mergeCell ref="A4:C4"/>
    <mergeCell ref="A19:C19"/>
    <mergeCell ref="A33:C33"/>
    <mergeCell ref="A40:C40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96"/>
  </cols>
  <sheetData>
    <row r="1" customFormat="false" ht="24" hidden="false" customHeight="true" outlineLevel="0" collapsed="false">
      <c r="A1" s="2" t="s">
        <v>1881</v>
      </c>
      <c r="B1" s="2"/>
      <c r="C1" s="2"/>
    </row>
    <row r="2" customFormat="false" ht="27.75" hidden="false" customHeight="true" outlineLevel="0" collapsed="false">
      <c r="A2" s="66" t="s">
        <v>1882</v>
      </c>
      <c r="B2" s="66"/>
      <c r="C2" s="66"/>
    </row>
    <row r="4" customFormat="false" ht="30" hidden="false" customHeight="true" outlineLevel="0" collapsed="false">
      <c r="A4" s="6" t="s">
        <v>1883</v>
      </c>
      <c r="B4" s="6" t="s">
        <v>1884</v>
      </c>
      <c r="C4" s="6" t="s">
        <v>250</v>
      </c>
    </row>
    <row r="5" customFormat="false" ht="48" hidden="false" customHeight="true" outlineLevel="0" collapsed="false">
      <c r="A5" s="25" t="s">
        <v>1885</v>
      </c>
      <c r="B5" s="7" t="s">
        <v>1886</v>
      </c>
      <c r="C5" s="7" t="s">
        <v>1887</v>
      </c>
    </row>
    <row r="6" customFormat="false" ht="48" hidden="false" customHeight="true" outlineLevel="0" collapsed="false">
      <c r="A6" s="25" t="s">
        <v>1888</v>
      </c>
      <c r="B6" s="7" t="s">
        <v>1889</v>
      </c>
      <c r="C6" s="7" t="s">
        <v>1890</v>
      </c>
    </row>
    <row r="7" customFormat="false" ht="48" hidden="false" customHeight="true" outlineLevel="0" collapsed="false">
      <c r="A7" s="25" t="s">
        <v>1891</v>
      </c>
      <c r="B7" s="7" t="s">
        <v>1892</v>
      </c>
      <c r="C7" s="7" t="s">
        <v>1893</v>
      </c>
    </row>
    <row r="8" customFormat="false" ht="48" hidden="false" customHeight="true" outlineLevel="0" collapsed="false">
      <c r="A8" s="25" t="s">
        <v>1894</v>
      </c>
      <c r="B8" s="7" t="s">
        <v>1895</v>
      </c>
      <c r="C8" s="7" t="s">
        <v>1896</v>
      </c>
    </row>
    <row r="9" customFormat="false" ht="48" hidden="false" customHeight="true" outlineLevel="0" collapsed="false">
      <c r="A9" s="25" t="s">
        <v>1897</v>
      </c>
      <c r="B9" s="7" t="s">
        <v>721</v>
      </c>
      <c r="C9" s="7" t="s">
        <v>1898</v>
      </c>
    </row>
    <row r="10" customFormat="false" ht="48" hidden="false" customHeight="true" outlineLevel="0" collapsed="false">
      <c r="A10" s="25" t="s">
        <v>1899</v>
      </c>
      <c r="B10" s="7" t="s">
        <v>635</v>
      </c>
      <c r="C10" s="7" t="s">
        <v>1900</v>
      </c>
    </row>
    <row r="11" customFormat="false" ht="48" hidden="false" customHeight="true" outlineLevel="0" collapsed="false">
      <c r="A11" s="25" t="s">
        <v>1847</v>
      </c>
      <c r="B11" s="7" t="s">
        <v>1901</v>
      </c>
      <c r="C11" s="7" t="s">
        <v>1902</v>
      </c>
    </row>
    <row r="12" customFormat="false" ht="48" hidden="false" customHeight="true" outlineLevel="0" collapsed="false">
      <c r="A12" s="25" t="s">
        <v>1849</v>
      </c>
      <c r="B12" s="7" t="s">
        <v>947</v>
      </c>
      <c r="C12" s="7" t="s">
        <v>1903</v>
      </c>
    </row>
    <row r="13" customFormat="false" ht="48" hidden="false" customHeight="true" outlineLevel="0" collapsed="false">
      <c r="A13" s="25" t="s">
        <v>1571</v>
      </c>
      <c r="B13" s="7" t="s">
        <v>839</v>
      </c>
      <c r="C13" s="7" t="s">
        <v>1904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92"/>
  </cols>
  <sheetData>
    <row r="1" customFormat="false" ht="24" hidden="false" customHeight="true" outlineLevel="0" collapsed="false">
      <c r="A1" s="2" t="s">
        <v>1905</v>
      </c>
      <c r="B1" s="2"/>
      <c r="C1" s="2"/>
    </row>
    <row r="2" customFormat="false" ht="30" hidden="false" customHeight="true" outlineLevel="0" collapsed="false">
      <c r="A2" s="66" t="s">
        <v>1906</v>
      </c>
      <c r="B2" s="66"/>
      <c r="C2" s="66"/>
    </row>
    <row r="4" customFormat="false" ht="18" hidden="false" customHeight="true" outlineLevel="0" collapsed="false">
      <c r="A4" s="5" t="s">
        <v>1907</v>
      </c>
      <c r="B4" s="5"/>
      <c r="C4" s="5"/>
    </row>
    <row r="5" customFormat="false" ht="30" hidden="false" customHeight="true" outlineLevel="0" collapsed="false">
      <c r="A5" s="6" t="s">
        <v>221</v>
      </c>
      <c r="B5" s="6" t="s">
        <v>222</v>
      </c>
      <c r="C5" s="6" t="s">
        <v>223</v>
      </c>
    </row>
    <row r="6" customFormat="false" ht="39.75" hidden="false" customHeight="true" outlineLevel="0" collapsed="false">
      <c r="A6" s="25" t="s">
        <v>1908</v>
      </c>
      <c r="B6" s="18" t="s">
        <v>1909</v>
      </c>
      <c r="C6" s="7" t="s">
        <v>1910</v>
      </c>
    </row>
    <row r="7" customFormat="false" ht="39.75" hidden="false" customHeight="true" outlineLevel="0" collapsed="false">
      <c r="A7" s="25" t="s">
        <v>1911</v>
      </c>
      <c r="B7" s="18" t="s">
        <v>1912</v>
      </c>
      <c r="C7" s="7" t="s">
        <v>1913</v>
      </c>
    </row>
    <row r="8" customFormat="false" ht="39.75" hidden="false" customHeight="true" outlineLevel="0" collapsed="false">
      <c r="A8" s="25" t="s">
        <v>1914</v>
      </c>
      <c r="B8" s="18" t="s">
        <v>1915</v>
      </c>
      <c r="C8" s="7" t="s">
        <v>1916</v>
      </c>
    </row>
    <row r="9" customFormat="false" ht="39.75" hidden="false" customHeight="true" outlineLevel="0" collapsed="false">
      <c r="A9" s="25" t="s">
        <v>1917</v>
      </c>
      <c r="B9" s="18" t="s">
        <v>1918</v>
      </c>
      <c r="C9" s="7" t="s">
        <v>1919</v>
      </c>
    </row>
    <row r="10" customFormat="false" ht="39.75" hidden="false" customHeight="true" outlineLevel="0" collapsed="false">
      <c r="A10" s="25" t="s">
        <v>1920</v>
      </c>
      <c r="B10" s="18" t="s">
        <v>1921</v>
      </c>
      <c r="C10" s="7"/>
    </row>
    <row r="11" customFormat="false" ht="39.75" hidden="false" customHeight="true" outlineLevel="0" collapsed="false">
      <c r="A11" s="25" t="s">
        <v>1922</v>
      </c>
      <c r="B11" s="18" t="s">
        <v>1923</v>
      </c>
      <c r="C11" s="7"/>
    </row>
    <row r="12" customFormat="false" ht="39.75" hidden="false" customHeight="true" outlineLevel="0" collapsed="false">
      <c r="A12" s="25" t="s">
        <v>1924</v>
      </c>
      <c r="B12" s="18" t="s">
        <v>1925</v>
      </c>
      <c r="C12" s="7" t="s">
        <v>1926</v>
      </c>
    </row>
    <row r="13" customFormat="false" ht="39.75" hidden="false" customHeight="true" outlineLevel="0" collapsed="false">
      <c r="A13" s="25" t="s">
        <v>183</v>
      </c>
      <c r="B13" s="18" t="s">
        <v>1927</v>
      </c>
      <c r="C13" s="7" t="s">
        <v>1928</v>
      </c>
    </row>
    <row r="14" customFormat="false" ht="39.75" hidden="false" customHeight="true" outlineLevel="0" collapsed="false">
      <c r="A14" s="25" t="s">
        <v>1929</v>
      </c>
      <c r="B14" s="18" t="s">
        <v>1930</v>
      </c>
      <c r="C14" s="7" t="s">
        <v>1931</v>
      </c>
    </row>
    <row r="16" customFormat="false" ht="18" hidden="false" customHeight="true" outlineLevel="0" collapsed="false">
      <c r="A16" s="5" t="s">
        <v>1932</v>
      </c>
      <c r="B16" s="5"/>
      <c r="C16" s="5"/>
    </row>
    <row r="17" customFormat="false" ht="72" hidden="false" customHeight="true" outlineLevel="0" collapsed="false">
      <c r="A17" s="89" t="s">
        <v>1933</v>
      </c>
      <c r="B17" s="89"/>
      <c r="C17" s="89"/>
    </row>
    <row r="18" customFormat="false" ht="30" hidden="false" customHeight="true" outlineLevel="0" collapsed="false">
      <c r="A18" s="6" t="s">
        <v>1934</v>
      </c>
      <c r="B18" s="6" t="s">
        <v>1935</v>
      </c>
      <c r="C18" s="6" t="s">
        <v>1936</v>
      </c>
    </row>
    <row r="19" customFormat="false" ht="31.5" hidden="false" customHeight="true" outlineLevel="0" collapsed="false">
      <c r="A19" s="25" t="s">
        <v>1937</v>
      </c>
      <c r="B19" s="18" t="s">
        <v>1938</v>
      </c>
      <c r="C19" s="7" t="s">
        <v>1939</v>
      </c>
    </row>
    <row r="20" customFormat="false" ht="31.5" hidden="false" customHeight="true" outlineLevel="0" collapsed="false">
      <c r="A20" s="25" t="s">
        <v>1940</v>
      </c>
      <c r="B20" s="18" t="s">
        <v>1941</v>
      </c>
      <c r="C20" s="7" t="s">
        <v>1942</v>
      </c>
    </row>
    <row r="21" customFormat="false" ht="31.5" hidden="false" customHeight="true" outlineLevel="0" collapsed="false">
      <c r="A21" s="25" t="s">
        <v>1943</v>
      </c>
      <c r="B21" s="18" t="s">
        <v>1944</v>
      </c>
      <c r="C21" s="7" t="s">
        <v>1945</v>
      </c>
    </row>
    <row r="22" customFormat="false" ht="31.5" hidden="false" customHeight="true" outlineLevel="0" collapsed="false">
      <c r="A22" s="25" t="s">
        <v>1946</v>
      </c>
      <c r="B22" s="18" t="s">
        <v>1947</v>
      </c>
      <c r="C22" s="7" t="s">
        <v>1948</v>
      </c>
    </row>
    <row r="24" customFormat="false" ht="18" hidden="false" customHeight="true" outlineLevel="0" collapsed="false">
      <c r="A24" s="5" t="s">
        <v>1949</v>
      </c>
      <c r="B24" s="5"/>
      <c r="C24" s="5"/>
    </row>
    <row r="25" customFormat="false" ht="75.75" hidden="false" customHeight="true" outlineLevel="0" collapsed="false">
      <c r="A25" s="41" t="s">
        <v>1950</v>
      </c>
      <c r="B25" s="41"/>
      <c r="C25" s="41"/>
    </row>
    <row r="26" customFormat="false" ht="30" hidden="false" customHeight="true" outlineLevel="0" collapsed="false">
      <c r="A26" s="6" t="s">
        <v>1951</v>
      </c>
      <c r="B26" s="6" t="s">
        <v>1952</v>
      </c>
      <c r="C26" s="6" t="s">
        <v>1953</v>
      </c>
    </row>
    <row r="27" customFormat="false" ht="42" hidden="false" customHeight="true" outlineLevel="0" collapsed="false">
      <c r="A27" s="25" t="s">
        <v>1954</v>
      </c>
      <c r="B27" s="7" t="s">
        <v>1955</v>
      </c>
      <c r="C27" s="7" t="s">
        <v>1956</v>
      </c>
    </row>
    <row r="28" customFormat="false" ht="42" hidden="false" customHeight="true" outlineLevel="0" collapsed="false">
      <c r="A28" s="25" t="s">
        <v>1957</v>
      </c>
      <c r="B28" s="7" t="s">
        <v>1958</v>
      </c>
      <c r="C28" s="7" t="s">
        <v>1959</v>
      </c>
    </row>
    <row r="29" customFormat="false" ht="42" hidden="false" customHeight="true" outlineLevel="0" collapsed="false">
      <c r="A29" s="25" t="s">
        <v>1960</v>
      </c>
      <c r="B29" s="7" t="s">
        <v>1961</v>
      </c>
      <c r="C29" s="7" t="s">
        <v>1962</v>
      </c>
    </row>
    <row r="30" customFormat="false" ht="42" hidden="false" customHeight="true" outlineLevel="0" collapsed="false">
      <c r="A30" s="25" t="s">
        <v>1963</v>
      </c>
      <c r="B30" s="7" t="s">
        <v>1964</v>
      </c>
      <c r="C30" s="7" t="s">
        <v>1965</v>
      </c>
    </row>
    <row r="31" customFormat="false" ht="42" hidden="false" customHeight="true" outlineLevel="0" collapsed="false">
      <c r="A31" s="25" t="s">
        <v>1966</v>
      </c>
      <c r="B31" s="7" t="s">
        <v>1967</v>
      </c>
      <c r="C31" s="7" t="s">
        <v>1968</v>
      </c>
    </row>
    <row r="32" customFormat="false" ht="42" hidden="false" customHeight="true" outlineLevel="0" collapsed="false">
      <c r="A32" s="25" t="s">
        <v>1969</v>
      </c>
      <c r="B32" s="7" t="s">
        <v>1970</v>
      </c>
      <c r="C32" s="7" t="s">
        <v>1971</v>
      </c>
    </row>
    <row r="33" customFormat="false" ht="42" hidden="false" customHeight="true" outlineLevel="0" collapsed="false">
      <c r="A33" s="25" t="s">
        <v>1972</v>
      </c>
      <c r="B33" s="7" t="s">
        <v>99</v>
      </c>
      <c r="C33" s="7" t="s">
        <v>1973</v>
      </c>
    </row>
    <row r="35" customFormat="false" ht="18" hidden="false" customHeight="true" outlineLevel="0" collapsed="false">
      <c r="A35" s="5" t="s">
        <v>1974</v>
      </c>
      <c r="B35" s="5"/>
      <c r="C35" s="5"/>
    </row>
    <row r="36" customFormat="false" ht="30" hidden="false" customHeight="true" outlineLevel="0" collapsed="false">
      <c r="A36" s="6" t="s">
        <v>1975</v>
      </c>
      <c r="B36" s="6" t="s">
        <v>1976</v>
      </c>
      <c r="C36" s="6" t="s">
        <v>223</v>
      </c>
    </row>
    <row r="37" customFormat="false" ht="42" hidden="false" customHeight="true" outlineLevel="0" collapsed="false">
      <c r="A37" s="25" t="s">
        <v>1879</v>
      </c>
      <c r="B37" s="28" t="s">
        <v>1977</v>
      </c>
      <c r="C37" s="32" t="s">
        <v>1978</v>
      </c>
    </row>
    <row r="38" customFormat="false" ht="42" hidden="false" customHeight="true" outlineLevel="0" collapsed="false">
      <c r="A38" s="25" t="s">
        <v>1979</v>
      </c>
      <c r="B38" s="28" t="s">
        <v>1980</v>
      </c>
      <c r="C38" s="32" t="s">
        <v>1981</v>
      </c>
    </row>
    <row r="39" customFormat="false" ht="42" hidden="false" customHeight="true" outlineLevel="0" collapsed="false">
      <c r="A39" s="25" t="s">
        <v>1982</v>
      </c>
      <c r="B39" s="28" t="s">
        <v>1983</v>
      </c>
      <c r="C39" s="32" t="s">
        <v>1984</v>
      </c>
    </row>
    <row r="40" customFormat="false" ht="42" hidden="false" customHeight="true" outlineLevel="0" collapsed="false">
      <c r="A40" s="25" t="s">
        <v>1985</v>
      </c>
      <c r="B40" s="28" t="s">
        <v>1986</v>
      </c>
      <c r="C40" s="32" t="s">
        <v>1987</v>
      </c>
    </row>
    <row r="42" customFormat="false" ht="18" hidden="false" customHeight="true" outlineLevel="0" collapsed="false">
      <c r="A42" s="5" t="s">
        <v>1988</v>
      </c>
      <c r="B42" s="5"/>
      <c r="C42" s="5"/>
    </row>
    <row r="43" customFormat="false" ht="45.75" hidden="false" customHeight="true" outlineLevel="0" collapsed="false">
      <c r="A43" s="8" t="s">
        <v>1989</v>
      </c>
      <c r="B43" s="8"/>
      <c r="C43" s="8"/>
    </row>
    <row r="44" customFormat="false" ht="111.75" hidden="false" customHeight="true" outlineLevel="0" collapsed="false">
      <c r="A44" s="41" t="s">
        <v>1990</v>
      </c>
      <c r="B44" s="41"/>
      <c r="C44" s="41"/>
    </row>
    <row r="46" customFormat="false" ht="30" hidden="false" customHeight="true" outlineLevel="0" collapsed="false">
      <c r="A46" s="6" t="s">
        <v>567</v>
      </c>
      <c r="B46" s="6" t="s">
        <v>1991</v>
      </c>
      <c r="C46" s="6" t="s">
        <v>1992</v>
      </c>
    </row>
    <row r="47" customFormat="false" ht="45.75" hidden="false" customHeight="true" outlineLevel="0" collapsed="false">
      <c r="A47" s="90" t="s">
        <v>589</v>
      </c>
      <c r="B47" s="16" t="s">
        <v>1993</v>
      </c>
      <c r="C47" s="7" t="s">
        <v>1994</v>
      </c>
    </row>
    <row r="48" customFormat="false" ht="45.75" hidden="false" customHeight="true" outlineLevel="0" collapsed="false">
      <c r="A48" s="91" t="s">
        <v>579</v>
      </c>
      <c r="B48" s="16" t="s">
        <v>1995</v>
      </c>
      <c r="C48" s="7" t="s">
        <v>1996</v>
      </c>
    </row>
    <row r="49" customFormat="false" ht="45.75" hidden="false" customHeight="true" outlineLevel="0" collapsed="false">
      <c r="A49" s="92" t="s">
        <v>573</v>
      </c>
      <c r="B49" s="16" t="s">
        <v>1997</v>
      </c>
      <c r="C49" s="7" t="s">
        <v>1998</v>
      </c>
    </row>
    <row r="51" customFormat="false" ht="30" hidden="false" customHeight="true" outlineLevel="0" collapsed="false">
      <c r="A51" s="6" t="s">
        <v>250</v>
      </c>
      <c r="B51" s="6" t="s">
        <v>222</v>
      </c>
      <c r="C51" s="6" t="s">
        <v>223</v>
      </c>
    </row>
    <row r="52" customFormat="false" ht="45.75" hidden="false" customHeight="true" outlineLevel="0" collapsed="false">
      <c r="A52" s="25" t="s">
        <v>1999</v>
      </c>
      <c r="B52" s="18" t="s">
        <v>2000</v>
      </c>
      <c r="C52" s="7" t="s">
        <v>2001</v>
      </c>
    </row>
    <row r="53" customFormat="false" ht="45.75" hidden="false" customHeight="true" outlineLevel="0" collapsed="false">
      <c r="A53" s="25" t="s">
        <v>2002</v>
      </c>
      <c r="B53" s="18" t="s">
        <v>2003</v>
      </c>
      <c r="C53" s="7" t="s">
        <v>2004</v>
      </c>
    </row>
    <row r="54" customFormat="false" ht="45.75" hidden="false" customHeight="true" outlineLevel="0" collapsed="false">
      <c r="A54" s="25" t="s">
        <v>2005</v>
      </c>
      <c r="B54" s="18" t="s">
        <v>2006</v>
      </c>
      <c r="C54" s="7" t="s">
        <v>2007</v>
      </c>
    </row>
    <row r="55" customFormat="false" ht="45.75" hidden="false" customHeight="true" outlineLevel="0" collapsed="false">
      <c r="A55" s="25" t="s">
        <v>2008</v>
      </c>
      <c r="B55" s="18" t="s">
        <v>2009</v>
      </c>
      <c r="C55" s="7" t="s">
        <v>2010</v>
      </c>
    </row>
    <row r="56" customFormat="false" ht="45.75" hidden="false" customHeight="true" outlineLevel="0" collapsed="false">
      <c r="A56" s="25" t="s">
        <v>2011</v>
      </c>
      <c r="B56" s="18" t="s">
        <v>2012</v>
      </c>
      <c r="C56" s="7" t="s">
        <v>2013</v>
      </c>
    </row>
    <row r="57" customFormat="false" ht="45.75" hidden="false" customHeight="true" outlineLevel="0" collapsed="false">
      <c r="A57" s="25" t="s">
        <v>2014</v>
      </c>
      <c r="B57" s="18" t="s">
        <v>2015</v>
      </c>
      <c r="C57" s="7" t="s">
        <v>2016</v>
      </c>
    </row>
    <row r="58" customFormat="false" ht="45.75" hidden="false" customHeight="true" outlineLevel="0" collapsed="false">
      <c r="A58" s="25" t="s">
        <v>2017</v>
      </c>
      <c r="B58" s="18" t="s">
        <v>2018</v>
      </c>
      <c r="C58" s="7" t="s">
        <v>2019</v>
      </c>
    </row>
    <row r="59" customFormat="false" ht="45.75" hidden="false" customHeight="true" outlineLevel="0" collapsed="false">
      <c r="A59" s="25" t="s">
        <v>2020</v>
      </c>
      <c r="B59" s="18" t="s">
        <v>2021</v>
      </c>
      <c r="C59" s="7" t="s">
        <v>2022</v>
      </c>
    </row>
    <row r="60" customFormat="false" ht="45.75" hidden="false" customHeight="true" outlineLevel="0" collapsed="false">
      <c r="A60" s="25" t="s">
        <v>2023</v>
      </c>
      <c r="B60" s="18" t="s">
        <v>2024</v>
      </c>
      <c r="C60" s="7" t="s">
        <v>2025</v>
      </c>
    </row>
    <row r="62" customFormat="false" ht="45.75" hidden="false" customHeight="true" outlineLevel="0" collapsed="false">
      <c r="A62" s="8" t="s">
        <v>2026</v>
      </c>
      <c r="B62" s="8"/>
      <c r="C62" s="8"/>
    </row>
  </sheetData>
  <mergeCells count="12">
    <mergeCell ref="A1:C1"/>
    <mergeCell ref="A2:C2"/>
    <mergeCell ref="A4:C4"/>
    <mergeCell ref="A16:C16"/>
    <mergeCell ref="A17:C17"/>
    <mergeCell ref="A24:C24"/>
    <mergeCell ref="A25:C25"/>
    <mergeCell ref="A35:C35"/>
    <mergeCell ref="A42:C42"/>
    <mergeCell ref="A43:C43"/>
    <mergeCell ref="A44:C44"/>
    <mergeCell ref="A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56"/>
  </cols>
  <sheetData>
    <row r="1" customFormat="false" ht="24" hidden="false" customHeight="true" outlineLevel="0" collapsed="false">
      <c r="A1" s="2" t="s">
        <v>2027</v>
      </c>
      <c r="B1" s="2"/>
      <c r="C1" s="2"/>
      <c r="D1" s="2"/>
    </row>
    <row r="2" customFormat="false" ht="27.75" hidden="false" customHeight="true" outlineLevel="0" collapsed="false">
      <c r="A2" s="66" t="s">
        <v>2028</v>
      </c>
      <c r="B2" s="66"/>
      <c r="C2" s="66"/>
      <c r="D2" s="66"/>
    </row>
    <row r="4" customFormat="false" ht="30" hidden="false" customHeight="true" outlineLevel="0" collapsed="false">
      <c r="A4" s="6" t="s">
        <v>2029</v>
      </c>
      <c r="B4" s="6" t="s">
        <v>79</v>
      </c>
      <c r="C4" s="6" t="s">
        <v>391</v>
      </c>
      <c r="D4" s="6" t="s">
        <v>2030</v>
      </c>
    </row>
    <row r="5" customFormat="false" ht="73.5" hidden="false" customHeight="true" outlineLevel="0" collapsed="false">
      <c r="A5" s="17" t="s">
        <v>2031</v>
      </c>
      <c r="B5" s="30" t="s">
        <v>2032</v>
      </c>
      <c r="C5" s="7" t="s">
        <v>2033</v>
      </c>
      <c r="D5" s="7" t="s">
        <v>2034</v>
      </c>
    </row>
    <row r="6" customFormat="false" ht="73.5" hidden="false" customHeight="true" outlineLevel="0" collapsed="false">
      <c r="A6" s="17" t="s">
        <v>2035</v>
      </c>
      <c r="B6" s="30" t="s">
        <v>2032</v>
      </c>
      <c r="C6" s="7" t="s">
        <v>2036</v>
      </c>
      <c r="D6" s="7" t="s">
        <v>2037</v>
      </c>
    </row>
    <row r="7" customFormat="false" ht="73.5" hidden="false" customHeight="true" outlineLevel="0" collapsed="false">
      <c r="A7" s="17" t="s">
        <v>2038</v>
      </c>
      <c r="B7" s="30" t="s">
        <v>2032</v>
      </c>
      <c r="C7" s="7" t="s">
        <v>2039</v>
      </c>
      <c r="D7" s="7" t="s">
        <v>2040</v>
      </c>
    </row>
    <row r="8" customFormat="false" ht="73.5" hidden="false" customHeight="true" outlineLevel="0" collapsed="false">
      <c r="A8" s="17" t="s">
        <v>2041</v>
      </c>
      <c r="B8" s="30" t="s">
        <v>2032</v>
      </c>
      <c r="C8" s="7" t="s">
        <v>2042</v>
      </c>
      <c r="D8" s="7" t="s">
        <v>2043</v>
      </c>
    </row>
    <row r="9" customFormat="false" ht="73.5" hidden="false" customHeight="true" outlineLevel="0" collapsed="false">
      <c r="A9" s="17" t="s">
        <v>2044</v>
      </c>
      <c r="B9" s="30" t="s">
        <v>2032</v>
      </c>
      <c r="C9" s="7" t="s">
        <v>2045</v>
      </c>
      <c r="D9" s="7" t="s">
        <v>2046</v>
      </c>
    </row>
    <row r="10" customFormat="false" ht="73.5" hidden="false" customHeight="true" outlineLevel="0" collapsed="false">
      <c r="A10" s="17" t="s">
        <v>2047</v>
      </c>
      <c r="B10" s="33" t="s">
        <v>2048</v>
      </c>
      <c r="C10" s="7" t="s">
        <v>2049</v>
      </c>
      <c r="D10" s="7" t="s">
        <v>2050</v>
      </c>
    </row>
    <row r="11" customFormat="false" ht="73.5" hidden="false" customHeight="true" outlineLevel="0" collapsed="false">
      <c r="A11" s="17" t="s">
        <v>2051</v>
      </c>
      <c r="B11" s="33" t="s">
        <v>2048</v>
      </c>
      <c r="C11" s="7" t="s">
        <v>2052</v>
      </c>
      <c r="D11" s="7" t="s">
        <v>2053</v>
      </c>
    </row>
    <row r="12" customFormat="false" ht="73.5" hidden="false" customHeight="true" outlineLevel="0" collapsed="false">
      <c r="A12" s="17" t="s">
        <v>2054</v>
      </c>
      <c r="B12" s="33" t="s">
        <v>2048</v>
      </c>
      <c r="C12" s="7" t="s">
        <v>2055</v>
      </c>
      <c r="D12" s="7" t="s">
        <v>2056</v>
      </c>
    </row>
    <row r="13" customFormat="false" ht="73.5" hidden="false" customHeight="true" outlineLevel="0" collapsed="false">
      <c r="A13" s="17" t="s">
        <v>2057</v>
      </c>
      <c r="B13" s="33" t="s">
        <v>2048</v>
      </c>
      <c r="C13" s="7" t="s">
        <v>2058</v>
      </c>
      <c r="D13" s="7" t="s">
        <v>2059</v>
      </c>
    </row>
    <row r="14" customFormat="false" ht="73.5" hidden="false" customHeight="true" outlineLevel="0" collapsed="false">
      <c r="A14" s="17" t="s">
        <v>2060</v>
      </c>
      <c r="B14" s="33" t="s">
        <v>2048</v>
      </c>
      <c r="C14" s="7" t="s">
        <v>2061</v>
      </c>
      <c r="D14" s="7" t="s">
        <v>2062</v>
      </c>
    </row>
    <row r="15" customFormat="false" ht="73.5" hidden="false" customHeight="true" outlineLevel="0" collapsed="false">
      <c r="A15" s="17" t="s">
        <v>2063</v>
      </c>
      <c r="B15" s="33" t="s">
        <v>2048</v>
      </c>
      <c r="C15" s="7" t="s">
        <v>2064</v>
      </c>
      <c r="D15" s="7" t="s">
        <v>2065</v>
      </c>
    </row>
    <row r="16" customFormat="false" ht="73.5" hidden="false" customHeight="true" outlineLevel="0" collapsed="false">
      <c r="A16" s="17" t="s">
        <v>2066</v>
      </c>
      <c r="B16" s="33" t="s">
        <v>2048</v>
      </c>
      <c r="C16" s="7" t="s">
        <v>2067</v>
      </c>
      <c r="D16" s="7" t="s">
        <v>2068</v>
      </c>
    </row>
    <row r="17" customFormat="false" ht="73.5" hidden="false" customHeight="true" outlineLevel="0" collapsed="false">
      <c r="A17" s="17" t="s">
        <v>2069</v>
      </c>
      <c r="B17" s="33" t="s">
        <v>2048</v>
      </c>
      <c r="C17" s="7" t="s">
        <v>2070</v>
      </c>
      <c r="D17" s="7" t="s">
        <v>2071</v>
      </c>
    </row>
    <row r="18" customFormat="false" ht="73.5" hidden="false" customHeight="true" outlineLevel="0" collapsed="false">
      <c r="A18" s="17" t="s">
        <v>2072</v>
      </c>
      <c r="B18" s="33" t="s">
        <v>2048</v>
      </c>
      <c r="C18" s="7" t="s">
        <v>2073</v>
      </c>
      <c r="D18" s="7" t="s">
        <v>2074</v>
      </c>
    </row>
    <row r="19" customFormat="false" ht="73.5" hidden="false" customHeight="true" outlineLevel="0" collapsed="false">
      <c r="A19" s="17" t="s">
        <v>2075</v>
      </c>
      <c r="B19" s="33" t="s">
        <v>2048</v>
      </c>
      <c r="C19" s="7" t="s">
        <v>2076</v>
      </c>
      <c r="D19" s="7" t="s">
        <v>2077</v>
      </c>
    </row>
    <row r="20" customFormat="false" ht="73.5" hidden="false" customHeight="true" outlineLevel="0" collapsed="false">
      <c r="A20" s="17" t="s">
        <v>2078</v>
      </c>
      <c r="B20" s="35" t="s">
        <v>2079</v>
      </c>
      <c r="C20" s="7" t="s">
        <v>2080</v>
      </c>
      <c r="D20" s="7" t="s">
        <v>2081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78"/>
  </cols>
  <sheetData>
    <row r="1" customFormat="false" ht="24" hidden="false" customHeight="true" outlineLevel="0" collapsed="false">
      <c r="A1" s="2" t="s">
        <v>2082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66" t="s">
        <v>2083</v>
      </c>
      <c r="B2" s="66"/>
      <c r="C2" s="66"/>
      <c r="D2" s="66"/>
      <c r="E2" s="66"/>
      <c r="F2" s="66"/>
      <c r="G2" s="66"/>
      <c r="H2" s="66"/>
    </row>
    <row r="3" customFormat="false" ht="30" hidden="false" customHeight="true" outlineLevel="0" collapsed="false">
      <c r="A3" s="6" t="s">
        <v>73</v>
      </c>
      <c r="B3" s="6" t="s">
        <v>487</v>
      </c>
      <c r="C3" s="6" t="s">
        <v>2084</v>
      </c>
      <c r="D3" s="6" t="s">
        <v>2085</v>
      </c>
      <c r="E3" s="6" t="s">
        <v>466</v>
      </c>
      <c r="F3" s="6" t="s">
        <v>489</v>
      </c>
      <c r="G3" s="6" t="s">
        <v>2086</v>
      </c>
      <c r="H3" s="6" t="s">
        <v>2087</v>
      </c>
    </row>
    <row r="4" customFormat="false" ht="31.5" hidden="false" customHeight="true" outlineLevel="0" collapsed="false">
      <c r="A4" s="16" t="n">
        <v>1</v>
      </c>
      <c r="B4" s="93" t="s">
        <v>2088</v>
      </c>
      <c r="C4" s="16" t="s">
        <v>2089</v>
      </c>
      <c r="D4" s="94" t="s">
        <v>496</v>
      </c>
      <c r="E4" s="94" t="s">
        <v>471</v>
      </c>
      <c r="F4" s="16" t="s">
        <v>501</v>
      </c>
      <c r="G4" s="16" t="n">
        <v>70</v>
      </c>
      <c r="H4" s="7" t="s">
        <v>2090</v>
      </c>
    </row>
    <row r="5" customFormat="false" ht="31.5" hidden="false" customHeight="true" outlineLevel="0" collapsed="false">
      <c r="A5" s="16" t="n">
        <v>2</v>
      </c>
      <c r="B5" s="93" t="s">
        <v>2091</v>
      </c>
      <c r="C5" s="16" t="s">
        <v>2089</v>
      </c>
      <c r="D5" s="94" t="s">
        <v>506</v>
      </c>
      <c r="E5" s="94" t="s">
        <v>475</v>
      </c>
      <c r="F5" s="16" t="s">
        <v>501</v>
      </c>
      <c r="G5" s="16" t="n">
        <v>120</v>
      </c>
      <c r="H5" s="7" t="s">
        <v>2092</v>
      </c>
    </row>
    <row r="6" customFormat="false" ht="31.5" hidden="false" customHeight="true" outlineLevel="0" collapsed="false">
      <c r="A6" s="16" t="n">
        <v>3</v>
      </c>
      <c r="B6" s="93" t="s">
        <v>2093</v>
      </c>
      <c r="C6" s="16" t="s">
        <v>2089</v>
      </c>
      <c r="D6" s="94" t="s">
        <v>496</v>
      </c>
      <c r="E6" s="94" t="s">
        <v>477</v>
      </c>
      <c r="F6" s="16" t="s">
        <v>495</v>
      </c>
      <c r="G6" s="16" t="n">
        <v>70</v>
      </c>
      <c r="H6" s="7" t="s">
        <v>2094</v>
      </c>
    </row>
    <row r="7" customFormat="false" ht="31.5" hidden="false" customHeight="true" outlineLevel="0" collapsed="false">
      <c r="A7" s="16" t="n">
        <v>4</v>
      </c>
      <c r="B7" s="93" t="s">
        <v>2095</v>
      </c>
      <c r="C7" s="16" t="s">
        <v>2089</v>
      </c>
      <c r="D7" s="94" t="s">
        <v>515</v>
      </c>
      <c r="E7" s="94" t="s">
        <v>473</v>
      </c>
      <c r="F7" s="16" t="s">
        <v>495</v>
      </c>
      <c r="G7" s="16" t="n">
        <v>85</v>
      </c>
      <c r="H7" s="7" t="s">
        <v>2096</v>
      </c>
    </row>
    <row r="8" customFormat="false" ht="31.5" hidden="false" customHeight="true" outlineLevel="0" collapsed="false">
      <c r="A8" s="16" t="n">
        <v>5</v>
      </c>
      <c r="B8" s="93" t="s">
        <v>2097</v>
      </c>
      <c r="C8" s="16" t="s">
        <v>2089</v>
      </c>
      <c r="D8" s="94" t="s">
        <v>529</v>
      </c>
      <c r="E8" s="94" t="s">
        <v>469</v>
      </c>
      <c r="F8" s="16" t="s">
        <v>495</v>
      </c>
      <c r="G8" s="16" t="n">
        <v>65</v>
      </c>
      <c r="H8" s="7" t="s">
        <v>2098</v>
      </c>
    </row>
    <row r="9" customFormat="false" ht="31.5" hidden="false" customHeight="true" outlineLevel="0" collapsed="false">
      <c r="A9" s="16" t="n">
        <v>6</v>
      </c>
      <c r="B9" s="93" t="s">
        <v>2099</v>
      </c>
      <c r="C9" s="16" t="s">
        <v>2089</v>
      </c>
      <c r="D9" s="94" t="s">
        <v>506</v>
      </c>
      <c r="E9" s="94" t="s">
        <v>479</v>
      </c>
      <c r="F9" s="16" t="s">
        <v>501</v>
      </c>
      <c r="G9" s="16" t="n">
        <v>120</v>
      </c>
      <c r="H9" s="7" t="s">
        <v>2100</v>
      </c>
    </row>
    <row r="10" customFormat="false" ht="31.5" hidden="false" customHeight="true" outlineLevel="0" collapsed="false">
      <c r="A10" s="16" t="n">
        <v>7</v>
      </c>
      <c r="B10" s="93" t="s">
        <v>2101</v>
      </c>
      <c r="C10" s="16" t="s">
        <v>2089</v>
      </c>
      <c r="D10" s="94" t="s">
        <v>496</v>
      </c>
      <c r="E10" s="94" t="s">
        <v>471</v>
      </c>
      <c r="F10" s="16" t="s">
        <v>501</v>
      </c>
      <c r="G10" s="16" t="n">
        <v>70</v>
      </c>
      <c r="H10" s="7" t="s">
        <v>2102</v>
      </c>
    </row>
    <row r="11" customFormat="false" ht="31.5" hidden="false" customHeight="true" outlineLevel="0" collapsed="false">
      <c r="A11" s="16" t="n">
        <v>8</v>
      </c>
      <c r="B11" s="93" t="s">
        <v>2103</v>
      </c>
      <c r="C11" s="16" t="s">
        <v>2089</v>
      </c>
      <c r="D11" s="94" t="s">
        <v>524</v>
      </c>
      <c r="E11" s="94" t="s">
        <v>475</v>
      </c>
      <c r="F11" s="16" t="s">
        <v>495</v>
      </c>
      <c r="G11" s="16" t="n">
        <v>75</v>
      </c>
      <c r="H11" s="7" t="s">
        <v>2104</v>
      </c>
    </row>
    <row r="12" customFormat="false" ht="31.5" hidden="false" customHeight="true" outlineLevel="0" collapsed="false">
      <c r="A12" s="12" t="n">
        <v>9</v>
      </c>
      <c r="B12" s="71" t="s">
        <v>2105</v>
      </c>
      <c r="C12" s="12" t="s">
        <v>2106</v>
      </c>
      <c r="D12" s="72" t="s">
        <v>496</v>
      </c>
      <c r="E12" s="72" t="s">
        <v>477</v>
      </c>
      <c r="F12" s="12" t="s">
        <v>534</v>
      </c>
      <c r="G12" s="12" t="n">
        <v>130</v>
      </c>
      <c r="H12" s="14" t="s">
        <v>2107</v>
      </c>
    </row>
    <row r="13" customFormat="false" ht="31.5" hidden="false" customHeight="true" outlineLevel="0" collapsed="false">
      <c r="A13" s="12" t="n">
        <v>10</v>
      </c>
      <c r="B13" s="71" t="s">
        <v>2108</v>
      </c>
      <c r="C13" s="12" t="s">
        <v>2106</v>
      </c>
      <c r="D13" s="72" t="s">
        <v>506</v>
      </c>
      <c r="E13" s="72" t="s">
        <v>471</v>
      </c>
      <c r="F13" s="12" t="s">
        <v>501</v>
      </c>
      <c r="G13" s="12" t="n">
        <v>180</v>
      </c>
      <c r="H13" s="14" t="s">
        <v>2109</v>
      </c>
    </row>
    <row r="14" customFormat="false" ht="31.5" hidden="false" customHeight="true" outlineLevel="0" collapsed="false">
      <c r="A14" s="12" t="n">
        <v>11</v>
      </c>
      <c r="B14" s="71" t="s">
        <v>2110</v>
      </c>
      <c r="C14" s="12" t="s">
        <v>2106</v>
      </c>
      <c r="D14" s="72" t="s">
        <v>524</v>
      </c>
      <c r="E14" s="72" t="s">
        <v>469</v>
      </c>
      <c r="F14" s="12" t="s">
        <v>495</v>
      </c>
      <c r="G14" s="12" t="n">
        <v>120</v>
      </c>
      <c r="H14" s="14" t="s">
        <v>2111</v>
      </c>
    </row>
    <row r="15" customFormat="false" ht="31.5" hidden="false" customHeight="true" outlineLevel="0" collapsed="false">
      <c r="A15" s="12" t="n">
        <v>12</v>
      </c>
      <c r="B15" s="71" t="s">
        <v>2112</v>
      </c>
      <c r="C15" s="12" t="s">
        <v>2106</v>
      </c>
      <c r="D15" s="72" t="s">
        <v>496</v>
      </c>
      <c r="E15" s="72" t="s">
        <v>471</v>
      </c>
      <c r="F15" s="12" t="s">
        <v>501</v>
      </c>
      <c r="G15" s="12" t="n">
        <v>130</v>
      </c>
      <c r="H15" s="14" t="s">
        <v>2113</v>
      </c>
    </row>
    <row r="17" customFormat="false" ht="31.5" hidden="false" customHeight="true" outlineLevel="0" collapsed="false">
      <c r="A17" s="26" t="s">
        <v>2114</v>
      </c>
      <c r="B17" s="26"/>
      <c r="C17" s="26"/>
      <c r="D17" s="26"/>
      <c r="E17" s="26"/>
      <c r="F17" s="26"/>
      <c r="G17" s="26"/>
      <c r="H17" s="26"/>
    </row>
  </sheetData>
  <mergeCells count="3">
    <mergeCell ref="A1:H1"/>
    <mergeCell ref="A2:H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0"/>
  </cols>
  <sheetData>
    <row r="1" customFormat="false" ht="24" hidden="false" customHeight="true" outlineLevel="0" collapsed="false">
      <c r="A1" s="2" t="s">
        <v>2115</v>
      </c>
      <c r="B1" s="2"/>
      <c r="C1" s="2"/>
      <c r="D1" s="2"/>
      <c r="E1" s="2"/>
      <c r="F1" s="2"/>
      <c r="G1" s="2"/>
    </row>
    <row r="3" customFormat="false" ht="18" hidden="false" customHeight="true" outlineLevel="0" collapsed="false">
      <c r="A3" s="5" t="s">
        <v>2116</v>
      </c>
      <c r="B3" s="5"/>
      <c r="C3" s="5"/>
      <c r="D3" s="5"/>
      <c r="E3" s="5"/>
      <c r="F3" s="5"/>
      <c r="G3" s="5"/>
    </row>
    <row r="4" customFormat="false" ht="30" hidden="false" customHeight="true" outlineLevel="0" collapsed="false">
      <c r="A4" s="6" t="s">
        <v>488</v>
      </c>
      <c r="B4" s="6" t="s">
        <v>496</v>
      </c>
      <c r="C4" s="6" t="s">
        <v>506</v>
      </c>
      <c r="D4" s="6" t="s">
        <v>515</v>
      </c>
      <c r="E4" s="6" t="s">
        <v>524</v>
      </c>
      <c r="F4" s="6" t="s">
        <v>529</v>
      </c>
      <c r="G4" s="6" t="s">
        <v>2117</v>
      </c>
    </row>
    <row r="5" customFormat="false" ht="15" hidden="false" customHeight="true" outlineLevel="0" collapsed="false">
      <c r="A5" s="25" t="s">
        <v>494</v>
      </c>
      <c r="B5" s="16" t="n">
        <f aca="false">COUNTIFS(Roster!$C$4:$C$103,$A5,Roster!$F$4:$F$103,B$4)</f>
        <v>6</v>
      </c>
      <c r="C5" s="16" t="n">
        <f aca="false">COUNTIFS(Roster!$C$4:$C$103,$A5,Roster!$F$4:$F$103,C$4)</f>
        <v>3</v>
      </c>
      <c r="D5" s="16" t="n">
        <f aca="false">COUNTIFS(Roster!$C$4:$C$103,$A5,Roster!$F$4:$F$103,D$4)</f>
        <v>4</v>
      </c>
      <c r="E5" s="16" t="n">
        <f aca="false">COUNTIFS(Roster!$C$4:$C$103,$A5,Roster!$F$4:$F$103,E$4)</f>
        <v>5</v>
      </c>
      <c r="F5" s="16" t="n">
        <f aca="false">COUNTIFS(Roster!$C$4:$C$103,$A5,Roster!$F$4:$F$103,F$4)</f>
        <v>1</v>
      </c>
      <c r="G5" s="95" t="n">
        <f aca="false">SUM(B5:F5)</f>
        <v>19</v>
      </c>
    </row>
    <row r="6" customFormat="false" ht="15" hidden="false" customHeight="true" outlineLevel="0" collapsed="false">
      <c r="A6" s="25" t="s">
        <v>505</v>
      </c>
      <c r="B6" s="16" t="n">
        <f aca="false">COUNTIFS(Roster!$C$4:$C$103,$A6,Roster!$F$4:$F$103,B$4)</f>
        <v>2</v>
      </c>
      <c r="C6" s="16" t="n">
        <f aca="false">COUNTIFS(Roster!$C$4:$C$103,$A6,Roster!$F$4:$F$103,C$4)</f>
        <v>5</v>
      </c>
      <c r="D6" s="16" t="n">
        <f aca="false">COUNTIFS(Roster!$C$4:$C$103,$A6,Roster!$F$4:$F$103,D$4)</f>
        <v>4</v>
      </c>
      <c r="E6" s="16" t="n">
        <f aca="false">COUNTIFS(Roster!$C$4:$C$103,$A6,Roster!$F$4:$F$103,E$4)</f>
        <v>1</v>
      </c>
      <c r="F6" s="16" t="n">
        <f aca="false">COUNTIFS(Roster!$C$4:$C$103,$A6,Roster!$F$4:$F$103,F$4)</f>
        <v>1</v>
      </c>
      <c r="G6" s="95" t="n">
        <f aca="false">SUM(B6:F6)</f>
        <v>13</v>
      </c>
    </row>
    <row r="7" customFormat="false" ht="15" hidden="false" customHeight="true" outlineLevel="0" collapsed="false">
      <c r="A7" s="25" t="s">
        <v>510</v>
      </c>
      <c r="B7" s="16" t="n">
        <f aca="false">COUNTIFS(Roster!$C$4:$C$103,$A7,Roster!$F$4:$F$103,B$4)</f>
        <v>4</v>
      </c>
      <c r="C7" s="16" t="n">
        <f aca="false">COUNTIFS(Roster!$C$4:$C$103,$A7,Roster!$F$4:$F$103,C$4)</f>
        <v>3</v>
      </c>
      <c r="D7" s="16" t="n">
        <f aca="false">COUNTIFS(Roster!$C$4:$C$103,$A7,Roster!$F$4:$F$103,D$4)</f>
        <v>4</v>
      </c>
      <c r="E7" s="16" t="n">
        <f aca="false">COUNTIFS(Roster!$C$4:$C$103,$A7,Roster!$F$4:$F$103,E$4)</f>
        <v>1</v>
      </c>
      <c r="F7" s="16" t="n">
        <f aca="false">COUNTIFS(Roster!$C$4:$C$103,$A7,Roster!$F$4:$F$103,F$4)</f>
        <v>2</v>
      </c>
      <c r="G7" s="95" t="n">
        <f aca="false">SUM(B7:F7)</f>
        <v>14</v>
      </c>
    </row>
    <row r="8" customFormat="false" ht="15" hidden="false" customHeight="true" outlineLevel="0" collapsed="false">
      <c r="A8" s="25" t="s">
        <v>528</v>
      </c>
      <c r="B8" s="16" t="n">
        <f aca="false">COUNTIFS(Roster!$C$4:$C$103,$A8,Roster!$F$4:$F$103,B$4)</f>
        <v>4</v>
      </c>
      <c r="C8" s="16" t="n">
        <f aca="false">COUNTIFS(Roster!$C$4:$C$103,$A8,Roster!$F$4:$F$103,C$4)</f>
        <v>2</v>
      </c>
      <c r="D8" s="16" t="n">
        <f aca="false">COUNTIFS(Roster!$C$4:$C$103,$A8,Roster!$F$4:$F$103,D$4)</f>
        <v>3</v>
      </c>
      <c r="E8" s="16" t="n">
        <f aca="false">COUNTIFS(Roster!$C$4:$C$103,$A8,Roster!$F$4:$F$103,E$4)</f>
        <v>2</v>
      </c>
      <c r="F8" s="16" t="n">
        <f aca="false">COUNTIFS(Roster!$C$4:$C$103,$A8,Roster!$F$4:$F$103,F$4)</f>
        <v>3</v>
      </c>
      <c r="G8" s="95" t="n">
        <f aca="false">SUM(B8:F8)</f>
        <v>14</v>
      </c>
    </row>
    <row r="9" customFormat="false" ht="15" hidden="false" customHeight="true" outlineLevel="0" collapsed="false">
      <c r="A9" s="25" t="s">
        <v>533</v>
      </c>
      <c r="B9" s="16" t="n">
        <f aca="false">COUNTIFS(Roster!$C$4:$C$103,$A9,Roster!$F$4:$F$103,B$4)</f>
        <v>3</v>
      </c>
      <c r="C9" s="16" t="n">
        <f aca="false">COUNTIFS(Roster!$C$4:$C$103,$A9,Roster!$F$4:$F$103,C$4)</f>
        <v>1</v>
      </c>
      <c r="D9" s="16" t="n">
        <f aca="false">COUNTIFS(Roster!$C$4:$C$103,$A9,Roster!$F$4:$F$103,D$4)</f>
        <v>3</v>
      </c>
      <c r="E9" s="16" t="n">
        <f aca="false">COUNTIFS(Roster!$C$4:$C$103,$A9,Roster!$F$4:$F$103,E$4)</f>
        <v>2</v>
      </c>
      <c r="F9" s="16" t="n">
        <f aca="false">COUNTIFS(Roster!$C$4:$C$103,$A9,Roster!$F$4:$F$103,F$4)</f>
        <v>0</v>
      </c>
      <c r="G9" s="95" t="n">
        <f aca="false">SUM(B9:F9)</f>
        <v>9</v>
      </c>
    </row>
    <row r="10" customFormat="false" ht="15" hidden="false" customHeight="true" outlineLevel="0" collapsed="false">
      <c r="A10" s="25" t="s">
        <v>519</v>
      </c>
      <c r="B10" s="16" t="n">
        <f aca="false">COUNTIFS(Roster!$C$4:$C$103,$A10,Roster!$F$4:$F$103,B$4)</f>
        <v>3</v>
      </c>
      <c r="C10" s="16" t="n">
        <f aca="false">COUNTIFS(Roster!$C$4:$C$103,$A10,Roster!$F$4:$F$103,C$4)</f>
        <v>1</v>
      </c>
      <c r="D10" s="16" t="n">
        <f aca="false">COUNTIFS(Roster!$C$4:$C$103,$A10,Roster!$F$4:$F$103,D$4)</f>
        <v>4</v>
      </c>
      <c r="E10" s="16" t="n">
        <f aca="false">COUNTIFS(Roster!$C$4:$C$103,$A10,Roster!$F$4:$F$103,E$4)</f>
        <v>0</v>
      </c>
      <c r="F10" s="16" t="n">
        <f aca="false">COUNTIFS(Roster!$C$4:$C$103,$A10,Roster!$F$4:$F$103,F$4)</f>
        <v>0</v>
      </c>
      <c r="G10" s="95" t="n">
        <f aca="false">SUM(B10:F10)</f>
        <v>8</v>
      </c>
    </row>
    <row r="11" customFormat="false" ht="15" hidden="false" customHeight="true" outlineLevel="0" collapsed="false">
      <c r="A11" s="25" t="s">
        <v>523</v>
      </c>
      <c r="B11" s="16" t="n">
        <f aca="false">COUNTIFS(Roster!$C$4:$C$103,$A11,Roster!$F$4:$F$103,B$4)</f>
        <v>2</v>
      </c>
      <c r="C11" s="16" t="n">
        <f aca="false">COUNTIFS(Roster!$C$4:$C$103,$A11,Roster!$F$4:$F$103,C$4)</f>
        <v>1</v>
      </c>
      <c r="D11" s="16" t="n">
        <f aca="false">COUNTIFS(Roster!$C$4:$C$103,$A11,Roster!$F$4:$F$103,D$4)</f>
        <v>0</v>
      </c>
      <c r="E11" s="16" t="n">
        <f aca="false">COUNTIFS(Roster!$C$4:$C$103,$A11,Roster!$F$4:$F$103,E$4)</f>
        <v>3</v>
      </c>
      <c r="F11" s="16" t="n">
        <f aca="false">COUNTIFS(Roster!$C$4:$C$103,$A11,Roster!$F$4:$F$103,F$4)</f>
        <v>2</v>
      </c>
      <c r="G11" s="95" t="n">
        <f aca="false">SUM(B11:F11)</f>
        <v>8</v>
      </c>
    </row>
    <row r="12" customFormat="false" ht="15" hidden="false" customHeight="true" outlineLevel="0" collapsed="false">
      <c r="A12" s="25" t="s">
        <v>500</v>
      </c>
      <c r="B12" s="16" t="n">
        <f aca="false">COUNTIFS(Roster!$C$4:$C$103,$A12,Roster!$F$4:$F$103,B$4)</f>
        <v>2</v>
      </c>
      <c r="C12" s="16" t="n">
        <f aca="false">COUNTIFS(Roster!$C$4:$C$103,$A12,Roster!$F$4:$F$103,C$4)</f>
        <v>0</v>
      </c>
      <c r="D12" s="16" t="n">
        <f aca="false">COUNTIFS(Roster!$C$4:$C$103,$A12,Roster!$F$4:$F$103,D$4)</f>
        <v>2</v>
      </c>
      <c r="E12" s="16" t="n">
        <f aca="false">COUNTIFS(Roster!$C$4:$C$103,$A12,Roster!$F$4:$F$103,E$4)</f>
        <v>1</v>
      </c>
      <c r="F12" s="16" t="n">
        <f aca="false">COUNTIFS(Roster!$C$4:$C$103,$A12,Roster!$F$4:$F$103,F$4)</f>
        <v>1</v>
      </c>
      <c r="G12" s="95" t="n">
        <f aca="false">SUM(B12:F12)</f>
        <v>6</v>
      </c>
    </row>
    <row r="13" customFormat="false" ht="15" hidden="false" customHeight="true" outlineLevel="0" collapsed="false">
      <c r="A13" s="25" t="s">
        <v>514</v>
      </c>
      <c r="B13" s="16" t="n">
        <f aca="false">COUNTIFS(Roster!$C$4:$C$103,$A13,Roster!$F$4:$F$103,B$4)</f>
        <v>1</v>
      </c>
      <c r="C13" s="16" t="n">
        <f aca="false">COUNTIFS(Roster!$C$4:$C$103,$A13,Roster!$F$4:$F$103,C$4)</f>
        <v>1</v>
      </c>
      <c r="D13" s="16" t="n">
        <f aca="false">COUNTIFS(Roster!$C$4:$C$103,$A13,Roster!$F$4:$F$103,D$4)</f>
        <v>2</v>
      </c>
      <c r="E13" s="16" t="n">
        <f aca="false">COUNTIFS(Roster!$C$4:$C$103,$A13,Roster!$F$4:$F$103,E$4)</f>
        <v>1</v>
      </c>
      <c r="F13" s="16" t="n">
        <f aca="false">COUNTIFS(Roster!$C$4:$C$103,$A13,Roster!$F$4:$F$103,F$4)</f>
        <v>0</v>
      </c>
      <c r="G13" s="95" t="n">
        <f aca="false">SUM(B13:F13)</f>
        <v>5</v>
      </c>
    </row>
    <row r="14" customFormat="false" ht="15" hidden="false" customHeight="true" outlineLevel="0" collapsed="false">
      <c r="A14" s="25" t="s">
        <v>943</v>
      </c>
      <c r="B14" s="16" t="n">
        <f aca="false">COUNTIFS(Roster!$C$4:$C$103,$A14,Roster!$F$4:$F$103,B$4)</f>
        <v>2</v>
      </c>
      <c r="C14" s="16" t="n">
        <f aca="false">COUNTIFS(Roster!$C$4:$C$103,$A14,Roster!$F$4:$F$103,C$4)</f>
        <v>0</v>
      </c>
      <c r="D14" s="16" t="n">
        <f aca="false">COUNTIFS(Roster!$C$4:$C$103,$A14,Roster!$F$4:$F$103,D$4)</f>
        <v>1</v>
      </c>
      <c r="E14" s="16" t="n">
        <f aca="false">COUNTIFS(Roster!$C$4:$C$103,$A14,Roster!$F$4:$F$103,E$4)</f>
        <v>1</v>
      </c>
      <c r="F14" s="16" t="n">
        <f aca="false">COUNTIFS(Roster!$C$4:$C$103,$A14,Roster!$F$4:$F$103,F$4)</f>
        <v>0</v>
      </c>
      <c r="G14" s="95" t="n">
        <f aca="false">SUM(B14:F14)</f>
        <v>4</v>
      </c>
    </row>
    <row r="15" customFormat="false" ht="15" hidden="false" customHeight="true" outlineLevel="0" collapsed="false">
      <c r="A15" s="27" t="s">
        <v>481</v>
      </c>
      <c r="B15" s="96" t="n">
        <f aca="false">SUM(B5:B14)</f>
        <v>29</v>
      </c>
      <c r="C15" s="96" t="n">
        <f aca="false">SUM(C5:C14)</f>
        <v>17</v>
      </c>
      <c r="D15" s="96" t="n">
        <f aca="false">SUM(D5:D14)</f>
        <v>27</v>
      </c>
      <c r="E15" s="96" t="n">
        <f aca="false">SUM(E5:E14)</f>
        <v>17</v>
      </c>
      <c r="F15" s="96" t="n">
        <f aca="false">SUM(F5:F14)</f>
        <v>10</v>
      </c>
      <c r="G15" s="96" t="n">
        <f aca="false">SUM(G5:G14)</f>
        <v>100</v>
      </c>
    </row>
    <row r="18" customFormat="false" ht="18" hidden="false" customHeight="true" outlineLevel="0" collapsed="false">
      <c r="A18" s="5" t="s">
        <v>2118</v>
      </c>
      <c r="B18" s="5"/>
      <c r="C18" s="5"/>
      <c r="D18" s="5"/>
      <c r="E18" s="5"/>
      <c r="F18" s="5"/>
      <c r="G18" s="5"/>
    </row>
    <row r="19" customFormat="false" ht="30" hidden="false" customHeight="true" outlineLevel="0" collapsed="false">
      <c r="A19" s="6" t="s">
        <v>466</v>
      </c>
      <c r="B19" s="6" t="s">
        <v>496</v>
      </c>
      <c r="C19" s="6" t="s">
        <v>506</v>
      </c>
      <c r="D19" s="6" t="s">
        <v>515</v>
      </c>
      <c r="E19" s="6" t="s">
        <v>524</v>
      </c>
      <c r="F19" s="6" t="s">
        <v>529</v>
      </c>
      <c r="G19" s="6" t="s">
        <v>2117</v>
      </c>
    </row>
    <row r="20" customFormat="false" ht="15" hidden="false" customHeight="true" outlineLevel="0" collapsed="false">
      <c r="A20" s="25" t="s">
        <v>469</v>
      </c>
      <c r="B20" s="16" t="n">
        <f aca="false">COUNTIFS(Roster!$D$4:$D$103,$A20,Roster!$F$4:$F$103,B$19)</f>
        <v>6</v>
      </c>
      <c r="C20" s="16" t="n">
        <f aca="false">COUNTIFS(Roster!$D$4:$D$103,$A20,Roster!$F$4:$F$103,C$19)</f>
        <v>2</v>
      </c>
      <c r="D20" s="16" t="n">
        <f aca="false">COUNTIFS(Roster!$D$4:$D$103,$A20,Roster!$F$4:$F$103,D$19)</f>
        <v>1</v>
      </c>
      <c r="E20" s="16" t="n">
        <f aca="false">COUNTIFS(Roster!$D$4:$D$103,$A20,Roster!$F$4:$F$103,E$19)</f>
        <v>1</v>
      </c>
      <c r="F20" s="16" t="n">
        <f aca="false">COUNTIFS(Roster!$D$4:$D$103,$A20,Roster!$F$4:$F$103,F$19)</f>
        <v>3</v>
      </c>
      <c r="G20" s="95" t="n">
        <f aca="false">SUM(B20:F20)</f>
        <v>13</v>
      </c>
    </row>
    <row r="21" customFormat="false" ht="15" hidden="false" customHeight="true" outlineLevel="0" collapsed="false">
      <c r="A21" s="25" t="s">
        <v>471</v>
      </c>
      <c r="B21" s="16" t="n">
        <f aca="false">COUNTIFS(Roster!$D$4:$D$103,$A21,Roster!$F$4:$F$103,B$19)</f>
        <v>5</v>
      </c>
      <c r="C21" s="16" t="n">
        <f aca="false">COUNTIFS(Roster!$D$4:$D$103,$A21,Roster!$F$4:$F$103,C$19)</f>
        <v>2</v>
      </c>
      <c r="D21" s="16" t="n">
        <f aca="false">COUNTIFS(Roster!$D$4:$D$103,$A21,Roster!$F$4:$F$103,D$19)</f>
        <v>5</v>
      </c>
      <c r="E21" s="16" t="n">
        <f aca="false">COUNTIFS(Roster!$D$4:$D$103,$A21,Roster!$F$4:$F$103,E$19)</f>
        <v>11</v>
      </c>
      <c r="F21" s="16" t="n">
        <f aca="false">COUNTIFS(Roster!$D$4:$D$103,$A21,Roster!$F$4:$F$103,F$19)</f>
        <v>4</v>
      </c>
      <c r="G21" s="95" t="n">
        <f aca="false">SUM(B21:F21)</f>
        <v>27</v>
      </c>
    </row>
    <row r="22" customFormat="false" ht="15" hidden="false" customHeight="true" outlineLevel="0" collapsed="false">
      <c r="A22" s="25" t="s">
        <v>473</v>
      </c>
      <c r="B22" s="16" t="n">
        <f aca="false">COUNTIFS(Roster!$D$4:$D$103,$A22,Roster!$F$4:$F$103,B$19)</f>
        <v>4</v>
      </c>
      <c r="C22" s="16" t="n">
        <f aca="false">COUNTIFS(Roster!$D$4:$D$103,$A22,Roster!$F$4:$F$103,C$19)</f>
        <v>3</v>
      </c>
      <c r="D22" s="16" t="n">
        <f aca="false">COUNTIFS(Roster!$D$4:$D$103,$A22,Roster!$F$4:$F$103,D$19)</f>
        <v>1</v>
      </c>
      <c r="E22" s="16" t="n">
        <f aca="false">COUNTIFS(Roster!$D$4:$D$103,$A22,Roster!$F$4:$F$103,E$19)</f>
        <v>2</v>
      </c>
      <c r="F22" s="16" t="n">
        <f aca="false">COUNTIFS(Roster!$D$4:$D$103,$A22,Roster!$F$4:$F$103,F$19)</f>
        <v>1</v>
      </c>
      <c r="G22" s="95" t="n">
        <f aca="false">SUM(B22:F22)</f>
        <v>11</v>
      </c>
    </row>
    <row r="23" customFormat="false" ht="15" hidden="false" customHeight="true" outlineLevel="0" collapsed="false">
      <c r="A23" s="25" t="s">
        <v>475</v>
      </c>
      <c r="B23" s="16" t="n">
        <f aca="false">COUNTIFS(Roster!$D$4:$D$103,$A23,Roster!$F$4:$F$103,B$19)</f>
        <v>4</v>
      </c>
      <c r="C23" s="16" t="n">
        <f aca="false">COUNTIFS(Roster!$D$4:$D$103,$A23,Roster!$F$4:$F$103,C$19)</f>
        <v>5</v>
      </c>
      <c r="D23" s="16" t="n">
        <f aca="false">COUNTIFS(Roster!$D$4:$D$103,$A23,Roster!$F$4:$F$103,D$19)</f>
        <v>11</v>
      </c>
      <c r="E23" s="16" t="n">
        <f aca="false">COUNTIFS(Roster!$D$4:$D$103,$A23,Roster!$F$4:$F$103,E$19)</f>
        <v>1</v>
      </c>
      <c r="F23" s="16" t="n">
        <f aca="false">COUNTIFS(Roster!$D$4:$D$103,$A23,Roster!$F$4:$F$103,F$19)</f>
        <v>0</v>
      </c>
      <c r="G23" s="95" t="n">
        <f aca="false">SUM(B23:F23)</f>
        <v>21</v>
      </c>
    </row>
    <row r="24" customFormat="false" ht="15" hidden="false" customHeight="true" outlineLevel="0" collapsed="false">
      <c r="A24" s="25" t="s">
        <v>477</v>
      </c>
      <c r="B24" s="16" t="n">
        <f aca="false">COUNTIFS(Roster!$D$4:$D$103,$A24,Roster!$F$4:$F$103,B$19)</f>
        <v>8</v>
      </c>
      <c r="C24" s="16" t="n">
        <f aca="false">COUNTIFS(Roster!$D$4:$D$103,$A24,Roster!$F$4:$F$103,C$19)</f>
        <v>3</v>
      </c>
      <c r="D24" s="16" t="n">
        <f aca="false">COUNTIFS(Roster!$D$4:$D$103,$A24,Roster!$F$4:$F$103,D$19)</f>
        <v>2</v>
      </c>
      <c r="E24" s="16" t="n">
        <f aca="false">COUNTIFS(Roster!$D$4:$D$103,$A24,Roster!$F$4:$F$103,E$19)</f>
        <v>0</v>
      </c>
      <c r="F24" s="16" t="n">
        <f aca="false">COUNTIFS(Roster!$D$4:$D$103,$A24,Roster!$F$4:$F$103,F$19)</f>
        <v>0</v>
      </c>
      <c r="G24" s="95" t="n">
        <f aca="false">SUM(B24:F24)</f>
        <v>13</v>
      </c>
    </row>
    <row r="25" customFormat="false" ht="15" hidden="false" customHeight="true" outlineLevel="0" collapsed="false">
      <c r="A25" s="25" t="s">
        <v>479</v>
      </c>
      <c r="B25" s="16" t="n">
        <f aca="false">COUNTIFS(Roster!$D$4:$D$103,$A25,Roster!$F$4:$F$103,B$19)</f>
        <v>2</v>
      </c>
      <c r="C25" s="16" t="n">
        <f aca="false">COUNTIFS(Roster!$D$4:$D$103,$A25,Roster!$F$4:$F$103,C$19)</f>
        <v>2</v>
      </c>
      <c r="D25" s="16" t="n">
        <f aca="false">COUNTIFS(Roster!$D$4:$D$103,$A25,Roster!$F$4:$F$103,D$19)</f>
        <v>7</v>
      </c>
      <c r="E25" s="16" t="n">
        <f aca="false">COUNTIFS(Roster!$D$4:$D$103,$A25,Roster!$F$4:$F$103,E$19)</f>
        <v>2</v>
      </c>
      <c r="F25" s="16" t="n">
        <f aca="false">COUNTIFS(Roster!$D$4:$D$103,$A25,Roster!$F$4:$F$103,F$19)</f>
        <v>2</v>
      </c>
      <c r="G25" s="95" t="n">
        <f aca="false">SUM(B25:F25)</f>
        <v>15</v>
      </c>
    </row>
    <row r="26" customFormat="false" ht="15" hidden="false" customHeight="true" outlineLevel="0" collapsed="false">
      <c r="A26" s="27" t="s">
        <v>481</v>
      </c>
      <c r="B26" s="96" t="n">
        <f aca="false">SUM(B20:B25)</f>
        <v>29</v>
      </c>
      <c r="C26" s="96" t="n">
        <f aca="false">SUM(C20:C25)</f>
        <v>17</v>
      </c>
      <c r="D26" s="96" t="n">
        <f aca="false">SUM(D20:D25)</f>
        <v>27</v>
      </c>
      <c r="E26" s="96" t="n">
        <f aca="false">SUM(E20:E25)</f>
        <v>17</v>
      </c>
      <c r="F26" s="96" t="n">
        <f aca="false">SUM(F20:F25)</f>
        <v>10</v>
      </c>
      <c r="G26" s="96" t="n">
        <f aca="false">SUM(G20:G25)</f>
        <v>100</v>
      </c>
    </row>
    <row r="28" customFormat="false" ht="30" hidden="false" customHeight="true" outlineLevel="0" collapsed="false">
      <c r="A28" s="66" t="s">
        <v>2119</v>
      </c>
      <c r="B28" s="66"/>
      <c r="C28" s="66"/>
      <c r="D28" s="66"/>
      <c r="E28" s="66"/>
      <c r="F28" s="66"/>
      <c r="G28" s="66"/>
    </row>
  </sheetData>
  <mergeCells count="4">
    <mergeCell ref="A1:G1"/>
    <mergeCell ref="A3:G3"/>
    <mergeCell ref="A18:G18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2026-08-05T19:26:30Z</dcterms:created>
  <dc:creator>openpyxl</dc:creator>
  <dc:description/>
  <dc:language>en-US</dc:language>
  <cp:lastModifiedBy/>
  <dcterms:modified xsi:type="dcterms:W3CDTF">2026-08-05T20:19:37Z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